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SUS\Downloads\"/>
    </mc:Choice>
  </mc:AlternateContent>
  <bookViews>
    <workbookView xWindow="0" yWindow="0" windowWidth="23040" windowHeight="8688" activeTab="9"/>
  </bookViews>
  <sheets>
    <sheet name="Project_Context" sheetId="1" r:id="rId1"/>
    <sheet name="Business_Assets" sheetId="2" r:id="rId2"/>
    <sheet name="Supporting_Assets" sheetId="3" r:id="rId3"/>
    <sheet name="Vulnerabilities" sheetId="5" r:id="rId4"/>
    <sheet name="Risk_Scenarios" sheetId="4" r:id="rId5"/>
    <sheet name="likelihood" sheetId="6" r:id="rId6"/>
    <sheet name="Impact_Assessment" sheetId="7" r:id="rId7"/>
    <sheet name="Inherent_Risk_Scores" sheetId="8" r:id="rId8"/>
    <sheet name="Risk Managment_Mapping" sheetId="9" r:id="rId9"/>
    <sheet name="R_A_Chart" sheetId="11" r:id="rId10"/>
  </sheets>
  <definedNames>
    <definedName name="_xlnm._FilterDatabase" localSheetId="0" hidden="1">Project_Context!$A$131:$O$131</definedName>
    <definedName name="Asset_Name">Business_Assets!$B$2:$B$11</definedName>
    <definedName name="Business_Asset_Name">Business_Assets!$B$2:$B$14</definedName>
    <definedName name="Risk_ID">Risk_Scenarios!#REF!</definedName>
    <definedName name="Risk_ID_">Risk_Scenarios!$I$2:$I$31</definedName>
    <definedName name="Theat_event">Risk_Scenarios!$B$2</definedName>
    <definedName name="Threat_Event">Risk_Scenarios!$B$2</definedName>
  </definedNames>
  <calcPr calcId="152511"/>
</workbook>
</file>

<file path=xl/calcChain.xml><?xml version="1.0" encoding="utf-8"?>
<calcChain xmlns="http://schemas.openxmlformats.org/spreadsheetml/2006/main">
  <c r="C3" i="8" l="1"/>
  <c r="D11" i="8" l="1"/>
  <c r="D12" i="8"/>
  <c r="D13" i="8"/>
  <c r="C11" i="8"/>
  <c r="C12" i="8"/>
  <c r="C13" i="8"/>
  <c r="B11" i="8"/>
  <c r="B12" i="8"/>
  <c r="C10" i="8"/>
  <c r="B10" i="8"/>
  <c r="D4" i="8"/>
  <c r="D5" i="8"/>
  <c r="D6" i="8"/>
  <c r="D7" i="8"/>
  <c r="D8" i="8"/>
  <c r="D9" i="8"/>
  <c r="D10" i="8"/>
  <c r="D14" i="8"/>
  <c r="D15" i="8"/>
  <c r="D16" i="8"/>
  <c r="D17" i="8"/>
  <c r="D18" i="8"/>
  <c r="D19" i="8"/>
  <c r="C4" i="8"/>
  <c r="C5" i="8"/>
  <c r="C6" i="8"/>
  <c r="C7" i="8"/>
  <c r="C8" i="8"/>
  <c r="C9" i="8"/>
  <c r="C14" i="8"/>
  <c r="C15" i="8"/>
  <c r="C16" i="8"/>
  <c r="C17" i="8"/>
  <c r="C18" i="8"/>
  <c r="B3" i="8"/>
  <c r="B4" i="8"/>
  <c r="B5" i="8"/>
  <c r="B6" i="8"/>
  <c r="B7" i="8"/>
  <c r="B8" i="8"/>
  <c r="B9" i="8"/>
  <c r="B14" i="8"/>
  <c r="B15" i="8"/>
  <c r="B16" i="8"/>
  <c r="B17" i="8"/>
  <c r="E4" i="8" l="1"/>
  <c r="C19" i="8"/>
  <c r="C20" i="8"/>
  <c r="B18" i="8"/>
  <c r="B19" i="8"/>
  <c r="L4" i="9" l="1"/>
  <c r="L5"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3" i="7"/>
  <c r="D3" i="8" s="1"/>
  <c r="L4" i="7"/>
  <c r="L5" i="7"/>
  <c r="L6" i="7"/>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I4" i="9"/>
  <c r="I5" i="9"/>
  <c r="D2" i="8"/>
  <c r="C2" i="8"/>
  <c r="I3" i="9" l="1"/>
  <c r="C21" i="8"/>
  <c r="C22" i="8"/>
  <c r="C23" i="8"/>
  <c r="C24" i="8"/>
  <c r="C25" i="8"/>
  <c r="C26" i="8"/>
  <c r="C27" i="8"/>
  <c r="C28" i="8"/>
  <c r="C29" i="8"/>
  <c r="K40" i="9"/>
  <c r="K41" i="9"/>
  <c r="K42" i="9"/>
  <c r="K43" i="9"/>
  <c r="K44" i="9"/>
  <c r="K45" i="9"/>
  <c r="K46" i="9"/>
  <c r="K47" i="9"/>
  <c r="K48" i="9"/>
  <c r="K49" i="9"/>
  <c r="K50" i="9"/>
  <c r="K51" i="9"/>
  <c r="K52" i="9"/>
  <c r="K53" i="9"/>
  <c r="K54" i="9"/>
  <c r="K55" i="9"/>
  <c r="K56" i="9"/>
  <c r="K57" i="9"/>
  <c r="K58" i="9"/>
  <c r="K59" i="9"/>
  <c r="K60" i="9"/>
  <c r="K61" i="9"/>
  <c r="K62" i="9"/>
  <c r="K63" i="9"/>
  <c r="K64" i="9"/>
  <c r="K65" i="9"/>
  <c r="K66" i="9"/>
  <c r="K67" i="9"/>
  <c r="K68" i="9"/>
  <c r="K69" i="9"/>
  <c r="K70" i="9"/>
  <c r="K71" i="9"/>
  <c r="K72" i="9"/>
  <c r="K73" i="9"/>
  <c r="K74" i="9"/>
  <c r="K75" i="9"/>
  <c r="K76" i="9"/>
  <c r="K77" i="9"/>
  <c r="K78" i="9"/>
  <c r="K79" i="9"/>
  <c r="K80" i="9"/>
  <c r="K81" i="9"/>
  <c r="K82" i="9"/>
  <c r="K83" i="9"/>
  <c r="K84" i="9"/>
  <c r="K85" i="9"/>
  <c r="K86" i="9"/>
  <c r="K87" i="9"/>
  <c r="K88" i="9"/>
  <c r="K89" i="9"/>
  <c r="K90" i="9"/>
  <c r="K91" i="9"/>
  <c r="K92" i="9"/>
  <c r="K93" i="9"/>
  <c r="K94" i="9"/>
  <c r="K95" i="9"/>
  <c r="K96" i="9"/>
  <c r="K97" i="9"/>
  <c r="K98" i="9"/>
  <c r="K99" i="9"/>
  <c r="K100" i="9"/>
  <c r="K101" i="9"/>
  <c r="K102" i="9"/>
  <c r="K103" i="9"/>
  <c r="K104" i="9"/>
  <c r="K105" i="9"/>
  <c r="K106" i="9"/>
  <c r="K107" i="9"/>
  <c r="K108" i="9"/>
  <c r="K109" i="9"/>
  <c r="K110" i="9"/>
  <c r="K111" i="9"/>
  <c r="K112" i="9"/>
  <c r="K113" i="9"/>
  <c r="K114" i="9"/>
  <c r="K115" i="9"/>
  <c r="K116" i="9"/>
  <c r="K117" i="9"/>
  <c r="K118" i="9"/>
  <c r="K119" i="9"/>
  <c r="K120" i="9"/>
  <c r="K121" i="9"/>
  <c r="K122" i="9"/>
  <c r="K123" i="9"/>
  <c r="K124" i="9"/>
  <c r="K125" i="9"/>
  <c r="K126" i="9"/>
  <c r="K127" i="9"/>
  <c r="K128" i="9"/>
  <c r="K129" i="9"/>
  <c r="B2" i="7"/>
  <c r="F36" i="6"/>
  <c r="F37" i="6"/>
  <c r="F38" i="6"/>
  <c r="F39" i="6"/>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2" i="5"/>
  <c r="J32" i="9" l="1"/>
  <c r="J33" i="9"/>
  <c r="C3" i="9"/>
  <c r="C4" i="9"/>
  <c r="C5" i="9"/>
  <c r="C6" i="9"/>
  <c r="C7" i="9"/>
  <c r="C8" i="9"/>
  <c r="C9" i="9"/>
  <c r="C10" i="9"/>
  <c r="C11" i="9"/>
  <c r="C12" i="9"/>
  <c r="C13" i="9"/>
  <c r="C14" i="9"/>
  <c r="C2" i="9"/>
  <c r="C15" i="9"/>
  <c r="C16" i="9"/>
  <c r="C17" i="9"/>
  <c r="C18" i="9"/>
  <c r="C19" i="9"/>
  <c r="C20" i="9"/>
  <c r="C21" i="9"/>
  <c r="C22" i="9"/>
  <c r="C23" i="9"/>
  <c r="C24" i="9"/>
  <c r="C25" i="9"/>
  <c r="C26" i="9"/>
  <c r="C27" i="9"/>
  <c r="C28" i="9"/>
  <c r="C29" i="9"/>
  <c r="C30" i="9"/>
  <c r="C31" i="9"/>
  <c r="C32" i="9"/>
  <c r="C33" i="9"/>
  <c r="C34" i="9"/>
  <c r="C35" i="9"/>
  <c r="C36" i="9"/>
  <c r="C37" i="9"/>
  <c r="C38" i="9"/>
  <c r="C39" i="9"/>
  <c r="C40" i="9"/>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2" i="4"/>
  <c r="A11" i="9"/>
  <c r="A13" i="9"/>
  <c r="A23" i="9"/>
  <c r="A25" i="9"/>
  <c r="C2" i="6"/>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1" i="6"/>
  <c r="B8" i="6"/>
  <c r="A4" i="8"/>
  <c r="A4" i="9" s="1"/>
  <c r="A5" i="8"/>
  <c r="A5" i="9" s="1"/>
  <c r="A6" i="8"/>
  <c r="A6" i="9" s="1"/>
  <c r="A7" i="8"/>
  <c r="A7" i="9" s="1"/>
  <c r="A8" i="8"/>
  <c r="A8" i="9" s="1"/>
  <c r="A9" i="8"/>
  <c r="A9" i="9" s="1"/>
  <c r="A10" i="8"/>
  <c r="A10" i="9" s="1"/>
  <c r="A11" i="8"/>
  <c r="A12" i="8"/>
  <c r="A12" i="9" s="1"/>
  <c r="A13" i="8"/>
  <c r="A14" i="8"/>
  <c r="A14" i="9" s="1"/>
  <c r="A15" i="8"/>
  <c r="A15" i="9" s="1"/>
  <c r="A16" i="8"/>
  <c r="A16" i="9" s="1"/>
  <c r="A17" i="8"/>
  <c r="A17" i="9" s="1"/>
  <c r="A18" i="8"/>
  <c r="A18" i="9" s="1"/>
  <c r="A19" i="8"/>
  <c r="A19" i="9" s="1"/>
  <c r="A20" i="8"/>
  <c r="A20" i="9" s="1"/>
  <c r="A21" i="8"/>
  <c r="A21" i="9" s="1"/>
  <c r="A22" i="8"/>
  <c r="A22" i="9" s="1"/>
  <c r="A23" i="8"/>
  <c r="A24" i="8"/>
  <c r="A24" i="9" s="1"/>
  <c r="A25" i="8"/>
  <c r="A26" i="8"/>
  <c r="A26" i="9" s="1"/>
  <c r="A27" i="8"/>
  <c r="A27" i="9" s="1"/>
  <c r="A28" i="8"/>
  <c r="A28" i="9" s="1"/>
  <c r="A29" i="8"/>
  <c r="A29" i="9" s="1"/>
  <c r="A30" i="8"/>
  <c r="A30" i="9" s="1"/>
  <c r="A31" i="8"/>
  <c r="A31" i="9" s="1"/>
  <c r="A3" i="8"/>
  <c r="A3" i="9" s="1"/>
  <c r="A2" i="8"/>
  <c r="A2" i="9" s="1"/>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2" i="6"/>
  <c r="A3" i="7"/>
  <c r="A4" i="7"/>
  <c r="A5" i="7"/>
  <c r="A6" i="7"/>
  <c r="A7" i="7"/>
  <c r="A8" i="7"/>
  <c r="A9" i="7"/>
  <c r="A10" i="7"/>
  <c r="A11" i="7"/>
  <c r="A12" i="7"/>
  <c r="A13" i="7"/>
  <c r="A14" i="7"/>
  <c r="A15" i="7"/>
  <c r="A16" i="7"/>
  <c r="A17" i="7"/>
  <c r="A18" i="7"/>
  <c r="A19" i="7"/>
  <c r="A20" i="7"/>
  <c r="A21" i="7"/>
  <c r="A22" i="7"/>
  <c r="A23" i="7"/>
  <c r="A24" i="7"/>
  <c r="A25" i="7"/>
  <c r="A26" i="7"/>
  <c r="A27" i="7"/>
  <c r="A28" i="7"/>
  <c r="A29" i="7"/>
  <c r="A30" i="7"/>
  <c r="A31" i="7"/>
  <c r="A2" i="7"/>
  <c r="A3" i="6"/>
  <c r="A4" i="6"/>
  <c r="A5" i="6"/>
  <c r="A6" i="6"/>
  <c r="A7" i="6"/>
  <c r="A8" i="6"/>
  <c r="A9" i="6"/>
  <c r="A10" i="6"/>
  <c r="A11" i="6"/>
  <c r="A12" i="6"/>
  <c r="A13" i="6"/>
  <c r="A14" i="6"/>
  <c r="A15" i="6"/>
  <c r="A16" i="6"/>
  <c r="A17" i="6"/>
  <c r="A18" i="6"/>
  <c r="A19" i="6"/>
  <c r="A20" i="6"/>
  <c r="A21" i="6"/>
  <c r="A22" i="6"/>
  <c r="A23" i="6"/>
  <c r="A24" i="6"/>
  <c r="A25" i="6"/>
  <c r="A26" i="6"/>
  <c r="A27" i="6"/>
  <c r="A28" i="6"/>
  <c r="A29" i="6"/>
  <c r="A30" i="6"/>
  <c r="A31" i="6"/>
  <c r="A2" i="6"/>
  <c r="B3" i="6"/>
  <c r="B4" i="6"/>
  <c r="B5" i="6"/>
  <c r="B6" i="6"/>
  <c r="B7" i="6"/>
  <c r="B9" i="6"/>
  <c r="B10" i="6"/>
  <c r="B11" i="6"/>
  <c r="B12" i="6"/>
  <c r="B13" i="6"/>
  <c r="B14" i="6"/>
  <c r="B15" i="6"/>
  <c r="B16" i="6"/>
  <c r="B17" i="6"/>
  <c r="B18" i="6"/>
  <c r="B19" i="6"/>
  <c r="B20" i="6"/>
  <c r="B21" i="6"/>
  <c r="B22" i="6"/>
  <c r="B23" i="6"/>
  <c r="B24" i="6"/>
  <c r="B25" i="6"/>
  <c r="B26" i="6"/>
  <c r="B27" i="6"/>
  <c r="B28" i="6"/>
  <c r="B29" i="6"/>
  <c r="B30" i="6"/>
  <c r="B31" i="6"/>
  <c r="L2" i="7" l="1"/>
  <c r="I33" i="9"/>
  <c r="K33" i="9" s="1"/>
  <c r="I34" i="9"/>
  <c r="K34" i="9" s="1"/>
  <c r="I35" i="9"/>
  <c r="K35" i="9" s="1"/>
  <c r="I36" i="9"/>
  <c r="K36" i="9" s="1"/>
  <c r="I37" i="9"/>
  <c r="K37" i="9" s="1"/>
  <c r="I38" i="9"/>
  <c r="K38" i="9" s="1"/>
  <c r="I39" i="9"/>
  <c r="K39" i="9" s="1"/>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218" i="7"/>
  <c r="L219" i="7"/>
  <c r="L220" i="7"/>
  <c r="L221" i="7"/>
  <c r="L222" i="7"/>
  <c r="L223" i="7"/>
  <c r="L224" i="7"/>
  <c r="L225" i="7"/>
  <c r="L226" i="7"/>
  <c r="L227" i="7"/>
  <c r="L228" i="7"/>
  <c r="L229" i="7"/>
  <c r="L230" i="7"/>
  <c r="L231" i="7"/>
  <c r="L232" i="7"/>
  <c r="L233" i="7"/>
  <c r="L234" i="7"/>
  <c r="L235" i="7"/>
  <c r="L236" i="7"/>
  <c r="L237" i="7"/>
  <c r="L238" i="7"/>
  <c r="L239" i="7"/>
  <c r="L240" i="7"/>
  <c r="L241" i="7"/>
  <c r="L242" i="7"/>
  <c r="L243" i="7"/>
  <c r="L244" i="7"/>
  <c r="L245" i="7"/>
  <c r="L246" i="7"/>
  <c r="L247" i="7"/>
  <c r="L248" i="7"/>
  <c r="L249" i="7"/>
  <c r="L250" i="7"/>
  <c r="L251" i="7"/>
  <c r="L252" i="7"/>
  <c r="L253" i="7"/>
  <c r="L254" i="7"/>
  <c r="L255" i="7"/>
  <c r="L256" i="7"/>
  <c r="L257" i="7"/>
  <c r="L258" i="7"/>
  <c r="L259" i="7"/>
  <c r="L260" i="7"/>
  <c r="L261" i="7"/>
  <c r="L262" i="7"/>
  <c r="L263"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02" i="7"/>
  <c r="L303" i="7"/>
  <c r="L304" i="7"/>
  <c r="L305" i="7"/>
  <c r="L306" i="7"/>
  <c r="L307" i="7"/>
  <c r="L308" i="7"/>
  <c r="L309" i="7"/>
  <c r="L310" i="7"/>
  <c r="L311" i="7"/>
  <c r="L312" i="7"/>
  <c r="L313" i="7"/>
  <c r="L314" i="7"/>
  <c r="L315" i="7"/>
  <c r="L316" i="7"/>
  <c r="L317" i="7"/>
  <c r="L318" i="7"/>
  <c r="L319" i="7"/>
  <c r="L320" i="7"/>
  <c r="L321" i="7"/>
  <c r="L322" i="7"/>
  <c r="L323" i="7"/>
  <c r="L324" i="7"/>
  <c r="L325" i="7"/>
  <c r="L326" i="7"/>
  <c r="L327" i="7"/>
  <c r="L328" i="7"/>
  <c r="L329" i="7"/>
  <c r="L330" i="7"/>
  <c r="L331" i="7"/>
  <c r="L332" i="7"/>
  <c r="L333" i="7"/>
  <c r="L334" i="7"/>
  <c r="L335" i="7"/>
  <c r="L336" i="7"/>
  <c r="L337" i="7"/>
  <c r="L338" i="7"/>
  <c r="L339" i="7"/>
  <c r="L340" i="7"/>
  <c r="L341" i="7"/>
  <c r="L342" i="7"/>
  <c r="L343" i="7"/>
  <c r="L344" i="7"/>
  <c r="L345" i="7"/>
  <c r="L346" i="7"/>
  <c r="L347" i="7"/>
  <c r="L348" i="7"/>
  <c r="L349" i="7"/>
  <c r="L350" i="7"/>
  <c r="L351" i="7"/>
  <c r="L352" i="7"/>
  <c r="L353" i="7"/>
  <c r="L354" i="7"/>
  <c r="L355" i="7"/>
  <c r="L356" i="7"/>
  <c r="L357" i="7"/>
  <c r="L358" i="7"/>
  <c r="L359" i="7"/>
  <c r="L360" i="7"/>
  <c r="L361" i="7"/>
  <c r="L362" i="7"/>
  <c r="L363" i="7"/>
  <c r="L364" i="7"/>
  <c r="L365" i="7"/>
  <c r="L366" i="7"/>
  <c r="L367" i="7"/>
  <c r="L368" i="7"/>
  <c r="L369" i="7"/>
  <c r="L370" i="7"/>
  <c r="L371" i="7"/>
  <c r="L372" i="7"/>
  <c r="L373" i="7"/>
  <c r="L374" i="7"/>
  <c r="L375" i="7"/>
  <c r="L376" i="7"/>
  <c r="L377" i="7"/>
  <c r="L378" i="7"/>
  <c r="L379" i="7"/>
  <c r="L380" i="7"/>
  <c r="L381" i="7"/>
  <c r="L382" i="7"/>
  <c r="L383" i="7"/>
  <c r="L384" i="7"/>
  <c r="L385" i="7"/>
  <c r="L386" i="7"/>
  <c r="L387" i="7"/>
  <c r="L388" i="7"/>
  <c r="L389" i="7"/>
  <c r="L390" i="7"/>
  <c r="L391" i="7"/>
  <c r="L392" i="7"/>
  <c r="L393" i="7"/>
  <c r="L394" i="7"/>
  <c r="L395" i="7"/>
  <c r="L396" i="7"/>
  <c r="L397" i="7"/>
  <c r="L398" i="7"/>
  <c r="L399" i="7"/>
  <c r="L400" i="7"/>
  <c r="L401" i="7"/>
  <c r="L402" i="7"/>
  <c r="L403" i="7"/>
  <c r="L404" i="7"/>
  <c r="L405" i="7"/>
  <c r="L406" i="7"/>
  <c r="L407" i="7"/>
  <c r="L408" i="7"/>
  <c r="L409" i="7"/>
  <c r="L410" i="7"/>
  <c r="L411" i="7"/>
  <c r="L412" i="7"/>
  <c r="L413" i="7"/>
  <c r="L414" i="7"/>
  <c r="L415" i="7"/>
  <c r="L416" i="7"/>
  <c r="L417" i="7"/>
  <c r="L418" i="7"/>
  <c r="L419" i="7"/>
  <c r="L420" i="7"/>
  <c r="L421" i="7"/>
  <c r="L422" i="7"/>
  <c r="L423" i="7"/>
  <c r="L424" i="7"/>
  <c r="L425" i="7"/>
  <c r="L426" i="7"/>
  <c r="L427" i="7"/>
  <c r="L428" i="7"/>
  <c r="L429" i="7"/>
  <c r="L430" i="7"/>
  <c r="L431" i="7"/>
  <c r="L432" i="7"/>
  <c r="L433" i="7"/>
  <c r="L434" i="7"/>
  <c r="L435" i="7"/>
  <c r="L436" i="7"/>
  <c r="L437" i="7"/>
  <c r="L438" i="7"/>
  <c r="L439" i="7"/>
  <c r="L440" i="7"/>
  <c r="L441" i="7"/>
  <c r="L442" i="7"/>
  <c r="L443" i="7"/>
  <c r="L444" i="7"/>
  <c r="L445" i="7"/>
  <c r="L446" i="7"/>
  <c r="L447" i="7"/>
  <c r="L448" i="7"/>
  <c r="L449" i="7"/>
  <c r="L450" i="7"/>
  <c r="L451" i="7"/>
  <c r="L452" i="7"/>
  <c r="L453" i="7"/>
  <c r="L454" i="7"/>
  <c r="L455" i="7"/>
  <c r="L456" i="7"/>
  <c r="L457" i="7"/>
  <c r="L458" i="7"/>
  <c r="L459" i="7"/>
  <c r="L460" i="7"/>
  <c r="L461" i="7"/>
  <c r="L462" i="7"/>
  <c r="L463" i="7"/>
  <c r="L464" i="7"/>
  <c r="L465" i="7"/>
  <c r="L466" i="7"/>
  <c r="L467" i="7"/>
  <c r="L468" i="7"/>
  <c r="L469" i="7"/>
  <c r="L470" i="7"/>
  <c r="L471" i="7"/>
  <c r="L472" i="7"/>
  <c r="L473" i="7"/>
  <c r="L474" i="7"/>
  <c r="L475" i="7"/>
  <c r="L476" i="7"/>
  <c r="L477" i="7"/>
  <c r="L478" i="7"/>
  <c r="L479" i="7"/>
  <c r="L480" i="7"/>
  <c r="L481" i="7"/>
  <c r="L482" i="7"/>
  <c r="L483" i="7"/>
  <c r="L484" i="7"/>
  <c r="L485" i="7"/>
  <c r="L486" i="7"/>
  <c r="L487" i="7"/>
  <c r="L488" i="7"/>
  <c r="L489" i="7"/>
  <c r="L490" i="7"/>
  <c r="L491" i="7"/>
  <c r="L492" i="7"/>
  <c r="L493" i="7"/>
  <c r="H3" i="5"/>
  <c r="I3" i="5" s="1"/>
  <c r="D3" i="6" s="1"/>
  <c r="H4" i="5"/>
  <c r="I4" i="5" s="1"/>
  <c r="D4" i="6" s="1"/>
  <c r="H5" i="5"/>
  <c r="H6" i="5"/>
  <c r="I6" i="5" s="1"/>
  <c r="D6" i="6" s="1"/>
  <c r="H7" i="5"/>
  <c r="H8" i="5"/>
  <c r="H9" i="5"/>
  <c r="H10" i="5"/>
  <c r="H11" i="5"/>
  <c r="H12" i="5"/>
  <c r="H13" i="5"/>
  <c r="H14" i="5"/>
  <c r="H15" i="5"/>
  <c r="H16" i="5"/>
  <c r="H17" i="5"/>
  <c r="H18" i="5"/>
  <c r="H19" i="5"/>
  <c r="H20" i="5"/>
  <c r="H21" i="5"/>
  <c r="H22" i="5"/>
  <c r="H23" i="5"/>
  <c r="H24" i="5"/>
  <c r="H25" i="5"/>
  <c r="H26" i="5"/>
  <c r="H27" i="5"/>
  <c r="H28" i="5"/>
  <c r="H29" i="5"/>
  <c r="H30" i="5"/>
  <c r="H2" i="5"/>
  <c r="H31" i="5"/>
  <c r="H32" i="5"/>
  <c r="B2" i="8"/>
  <c r="B20" i="8"/>
  <c r="B21" i="8"/>
  <c r="B22" i="8"/>
  <c r="B23" i="8"/>
  <c r="B24" i="8"/>
  <c r="B25" i="8"/>
  <c r="B26" i="8"/>
  <c r="B27" i="8"/>
  <c r="B28" i="8"/>
  <c r="B29" i="8"/>
  <c r="B30" i="8"/>
  <c r="B31" i="8"/>
  <c r="D22" i="8" l="1"/>
  <c r="I22" i="9"/>
  <c r="D21" i="8"/>
  <c r="I21" i="9"/>
  <c r="D20" i="8"/>
  <c r="I20" i="9"/>
  <c r="K20" i="9" s="1"/>
  <c r="I7" i="9"/>
  <c r="K7" i="9" s="1"/>
  <c r="I18" i="9"/>
  <c r="K18" i="9" s="1"/>
  <c r="I6" i="9"/>
  <c r="K6" i="9" s="1"/>
  <c r="D29" i="8"/>
  <c r="I29" i="9"/>
  <c r="I17" i="9"/>
  <c r="K5" i="9"/>
  <c r="D28" i="8"/>
  <c r="I28" i="9"/>
  <c r="K28" i="9" s="1"/>
  <c r="D23" i="8"/>
  <c r="I23" i="9"/>
  <c r="I9" i="9"/>
  <c r="K9" i="9" s="1"/>
  <c r="D32" i="8"/>
  <c r="I32" i="9"/>
  <c r="K32" i="9" s="1"/>
  <c r="I16" i="9"/>
  <c r="D27" i="8"/>
  <c r="I27" i="9"/>
  <c r="K27" i="9" s="1"/>
  <c r="I15" i="9"/>
  <c r="K15" i="9" s="1"/>
  <c r="D31" i="8"/>
  <c r="I31" i="9"/>
  <c r="K31" i="9" s="1"/>
  <c r="D24" i="8"/>
  <c r="I24" i="9"/>
  <c r="I8" i="9"/>
  <c r="K8" i="9" s="1"/>
  <c r="D26" i="8"/>
  <c r="I26" i="9"/>
  <c r="I14" i="9"/>
  <c r="K14" i="9" s="1"/>
  <c r="D30" i="8"/>
  <c r="I30" i="9"/>
  <c r="K30" i="9" s="1"/>
  <c r="I19" i="9"/>
  <c r="D25" i="8"/>
  <c r="I25" i="9"/>
  <c r="I13" i="9"/>
  <c r="K13" i="9" s="1"/>
  <c r="K4" i="9"/>
  <c r="I2" i="9"/>
  <c r="F4" i="6"/>
  <c r="J4" i="9" s="1"/>
  <c r="F3" i="6"/>
  <c r="F6" i="6"/>
  <c r="I2" i="5"/>
  <c r="D2" i="6" s="1"/>
  <c r="F2" i="6" s="1"/>
  <c r="I10" i="9"/>
  <c r="I11" i="9"/>
  <c r="I14" i="5"/>
  <c r="D14" i="6" s="1"/>
  <c r="F14" i="6" s="1"/>
  <c r="I15" i="5"/>
  <c r="D15" i="6" s="1"/>
  <c r="F15" i="6" s="1"/>
  <c r="I16" i="5"/>
  <c r="D16" i="6" s="1"/>
  <c r="F16" i="6" s="1"/>
  <c r="I17" i="5"/>
  <c r="D17" i="6" s="1"/>
  <c r="F17" i="6" s="1"/>
  <c r="I18" i="5"/>
  <c r="D18" i="6" s="1"/>
  <c r="F18" i="6" s="1"/>
  <c r="I19" i="5"/>
  <c r="D19" i="6" s="1"/>
  <c r="F19" i="6" s="1"/>
  <c r="I20" i="5"/>
  <c r="D20" i="6" s="1"/>
  <c r="F20" i="6" s="1"/>
  <c r="I21" i="5"/>
  <c r="D21" i="6" s="1"/>
  <c r="F21" i="6" s="1"/>
  <c r="I22" i="5"/>
  <c r="D22" i="6" s="1"/>
  <c r="F22" i="6" s="1"/>
  <c r="I23" i="5"/>
  <c r="D23" i="6" s="1"/>
  <c r="F23" i="6" s="1"/>
  <c r="I24" i="5"/>
  <c r="D24" i="6" s="1"/>
  <c r="F24" i="6" s="1"/>
  <c r="I25" i="5"/>
  <c r="D25" i="6" s="1"/>
  <c r="F25" i="6" s="1"/>
  <c r="I26" i="5"/>
  <c r="D26" i="6" s="1"/>
  <c r="F26" i="6" s="1"/>
  <c r="I27" i="5"/>
  <c r="D27" i="6" s="1"/>
  <c r="F27" i="6" s="1"/>
  <c r="I28" i="5"/>
  <c r="D28" i="6" s="1"/>
  <c r="F28" i="6" s="1"/>
  <c r="I29" i="5"/>
  <c r="D29" i="6" s="1"/>
  <c r="F29" i="6" s="1"/>
  <c r="I30" i="5"/>
  <c r="D30" i="6" s="1"/>
  <c r="F30" i="6" s="1"/>
  <c r="I31" i="5"/>
  <c r="D31" i="6" s="1"/>
  <c r="F31" i="6" s="1"/>
  <c r="E35" i="5"/>
  <c r="E36" i="5"/>
  <c r="E37" i="5"/>
  <c r="E38" i="5"/>
  <c r="E39" i="5"/>
  <c r="E40" i="5"/>
  <c r="E41" i="5"/>
  <c r="E42" i="5"/>
  <c r="E43" i="5"/>
  <c r="E44" i="5"/>
  <c r="E45" i="5"/>
  <c r="E46" i="5"/>
  <c r="E47" i="5"/>
  <c r="E48" i="5"/>
  <c r="E49" i="5"/>
  <c r="E50" i="5"/>
  <c r="E51" i="5"/>
  <c r="E52" i="5"/>
  <c r="E53" i="5"/>
  <c r="E54" i="5"/>
  <c r="E55" i="5"/>
  <c r="E56" i="5"/>
  <c r="I5" i="5"/>
  <c r="D5" i="6" s="1"/>
  <c r="I7" i="5"/>
  <c r="D7" i="6" s="1"/>
  <c r="F7" i="6" s="1"/>
  <c r="I8" i="5"/>
  <c r="D8" i="6" s="1"/>
  <c r="F8" i="6" s="1"/>
  <c r="I9" i="5"/>
  <c r="D9" i="6" s="1"/>
  <c r="F9" i="6" s="1"/>
  <c r="I10" i="5"/>
  <c r="D10" i="6" s="1"/>
  <c r="F10" i="6" s="1"/>
  <c r="I11" i="5"/>
  <c r="D11" i="6" s="1"/>
  <c r="F11" i="6" s="1"/>
  <c r="I12" i="5"/>
  <c r="D12" i="6" s="1"/>
  <c r="F12" i="6" s="1"/>
  <c r="I13" i="5"/>
  <c r="D13" i="6" s="1"/>
  <c r="F13" i="6" s="1"/>
  <c r="J3" i="9" l="1"/>
  <c r="E3" i="8"/>
  <c r="F3" i="8" s="1"/>
  <c r="K10" i="9"/>
  <c r="K24" i="9"/>
  <c r="K25" i="9"/>
  <c r="K19" i="9"/>
  <c r="K23" i="9"/>
  <c r="K26" i="9"/>
  <c r="K16" i="9"/>
  <c r="K17" i="9"/>
  <c r="K12" i="9"/>
  <c r="K29" i="9"/>
  <c r="K22" i="9"/>
  <c r="K21" i="9"/>
  <c r="K11" i="9"/>
  <c r="K3" i="9"/>
  <c r="L3" i="9" s="1"/>
  <c r="F5" i="6"/>
  <c r="J5" i="9" s="1"/>
  <c r="J6" i="9"/>
  <c r="J28" i="9"/>
  <c r="J20" i="9"/>
  <c r="C31" i="8"/>
  <c r="E31" i="8" s="1"/>
  <c r="F31" i="8" s="1"/>
  <c r="J31" i="9"/>
  <c r="J27" i="9"/>
  <c r="J30" i="9"/>
  <c r="J29" i="9"/>
  <c r="J15" i="9"/>
  <c r="J23" i="9"/>
  <c r="E17" i="8"/>
  <c r="F17" i="8" s="1"/>
  <c r="J17" i="9"/>
  <c r="J26" i="9"/>
  <c r="J25" i="9"/>
  <c r="J22" i="9"/>
  <c r="J18" i="9"/>
  <c r="J16" i="9"/>
  <c r="E24" i="8"/>
  <c r="F24" i="8" s="1"/>
  <c r="J24" i="9"/>
  <c r="J21" i="9"/>
  <c r="J19" i="9"/>
  <c r="J2" i="9"/>
  <c r="E2" i="8"/>
  <c r="F2" i="8" s="1"/>
  <c r="J14" i="9"/>
  <c r="J11" i="9"/>
  <c r="J10" i="9"/>
  <c r="J9" i="9"/>
  <c r="J8" i="9"/>
  <c r="E5" i="8"/>
  <c r="D501" i="8"/>
  <c r="C501" i="8"/>
  <c r="E501" i="8" s="1"/>
  <c r="F501" i="8" s="1"/>
  <c r="D500" i="8"/>
  <c r="C500" i="8"/>
  <c r="E500" i="8" s="1"/>
  <c r="F500" i="8" s="1"/>
  <c r="D499" i="8"/>
  <c r="C499" i="8"/>
  <c r="E499" i="8" s="1"/>
  <c r="F499" i="8" s="1"/>
  <c r="D498" i="8"/>
  <c r="C498" i="8"/>
  <c r="E498" i="8" s="1"/>
  <c r="F498" i="8" s="1"/>
  <c r="D497" i="8"/>
  <c r="C497" i="8"/>
  <c r="E497" i="8" s="1"/>
  <c r="F497" i="8" s="1"/>
  <c r="D496" i="8"/>
  <c r="C496" i="8"/>
  <c r="E496" i="8" s="1"/>
  <c r="F496" i="8" s="1"/>
  <c r="D495" i="8"/>
  <c r="C495" i="8"/>
  <c r="E495" i="8" s="1"/>
  <c r="F495" i="8" s="1"/>
  <c r="D494" i="8"/>
  <c r="C494" i="8"/>
  <c r="E494" i="8" s="1"/>
  <c r="F494" i="8" s="1"/>
  <c r="D493" i="8"/>
  <c r="C493" i="8"/>
  <c r="E493" i="8" s="1"/>
  <c r="F493" i="8" s="1"/>
  <c r="D492" i="8"/>
  <c r="C492" i="8"/>
  <c r="E492" i="8" s="1"/>
  <c r="F492" i="8" s="1"/>
  <c r="D491" i="8"/>
  <c r="C491" i="8"/>
  <c r="E491" i="8" s="1"/>
  <c r="F491" i="8" s="1"/>
  <c r="D490" i="8"/>
  <c r="C490" i="8"/>
  <c r="E490" i="8" s="1"/>
  <c r="F490" i="8" s="1"/>
  <c r="D489" i="8"/>
  <c r="C489" i="8"/>
  <c r="E489" i="8" s="1"/>
  <c r="F489" i="8" s="1"/>
  <c r="D488" i="8"/>
  <c r="C488" i="8"/>
  <c r="E488" i="8" s="1"/>
  <c r="F488" i="8" s="1"/>
  <c r="D487" i="8"/>
  <c r="C487" i="8"/>
  <c r="E487" i="8" s="1"/>
  <c r="F487" i="8" s="1"/>
  <c r="D486" i="8"/>
  <c r="C486" i="8"/>
  <c r="E486" i="8" s="1"/>
  <c r="F486" i="8" s="1"/>
  <c r="D485" i="8"/>
  <c r="C485" i="8"/>
  <c r="E485" i="8" s="1"/>
  <c r="F485" i="8" s="1"/>
  <c r="D484" i="8"/>
  <c r="C484" i="8"/>
  <c r="E484" i="8" s="1"/>
  <c r="F484" i="8" s="1"/>
  <c r="D483" i="8"/>
  <c r="C483" i="8"/>
  <c r="E483" i="8" s="1"/>
  <c r="F483" i="8" s="1"/>
  <c r="D482" i="8"/>
  <c r="C482" i="8"/>
  <c r="E482" i="8" s="1"/>
  <c r="F482" i="8" s="1"/>
  <c r="D481" i="8"/>
  <c r="C481" i="8"/>
  <c r="E481" i="8" s="1"/>
  <c r="F481" i="8" s="1"/>
  <c r="D480" i="8"/>
  <c r="C480" i="8"/>
  <c r="E480" i="8" s="1"/>
  <c r="F480" i="8" s="1"/>
  <c r="D479" i="8"/>
  <c r="C479" i="8"/>
  <c r="E479" i="8" s="1"/>
  <c r="F479" i="8" s="1"/>
  <c r="D478" i="8"/>
  <c r="C478" i="8"/>
  <c r="E478" i="8" s="1"/>
  <c r="F478" i="8" s="1"/>
  <c r="D477" i="8"/>
  <c r="C477" i="8"/>
  <c r="E477" i="8" s="1"/>
  <c r="F477" i="8" s="1"/>
  <c r="D476" i="8"/>
  <c r="C476" i="8"/>
  <c r="E476" i="8" s="1"/>
  <c r="F476" i="8" s="1"/>
  <c r="D475" i="8"/>
  <c r="C475" i="8"/>
  <c r="E475" i="8" s="1"/>
  <c r="F475" i="8" s="1"/>
  <c r="D474" i="8"/>
  <c r="C474" i="8"/>
  <c r="E474" i="8" s="1"/>
  <c r="F474" i="8" s="1"/>
  <c r="D473" i="8"/>
  <c r="C473" i="8"/>
  <c r="E473" i="8" s="1"/>
  <c r="F473" i="8" s="1"/>
  <c r="D472" i="8"/>
  <c r="C472" i="8"/>
  <c r="E472" i="8" s="1"/>
  <c r="F472" i="8" s="1"/>
  <c r="D471" i="8"/>
  <c r="C471" i="8"/>
  <c r="E471" i="8" s="1"/>
  <c r="F471" i="8" s="1"/>
  <c r="D470" i="8"/>
  <c r="C470" i="8"/>
  <c r="E470" i="8" s="1"/>
  <c r="F470" i="8" s="1"/>
  <c r="D469" i="8"/>
  <c r="C469" i="8"/>
  <c r="E469" i="8" s="1"/>
  <c r="F469" i="8" s="1"/>
  <c r="D468" i="8"/>
  <c r="C468" i="8"/>
  <c r="E468" i="8" s="1"/>
  <c r="F468" i="8" s="1"/>
  <c r="D467" i="8"/>
  <c r="C467" i="8"/>
  <c r="E467" i="8" s="1"/>
  <c r="F467" i="8" s="1"/>
  <c r="D466" i="8"/>
  <c r="C466" i="8"/>
  <c r="E466" i="8" s="1"/>
  <c r="F466" i="8" s="1"/>
  <c r="D465" i="8"/>
  <c r="C465" i="8"/>
  <c r="E465" i="8" s="1"/>
  <c r="F465" i="8" s="1"/>
  <c r="D464" i="8"/>
  <c r="C464" i="8"/>
  <c r="E464" i="8" s="1"/>
  <c r="F464" i="8" s="1"/>
  <c r="D463" i="8"/>
  <c r="C463" i="8"/>
  <c r="E463" i="8" s="1"/>
  <c r="F463" i="8" s="1"/>
  <c r="D462" i="8"/>
  <c r="C462" i="8"/>
  <c r="E462" i="8" s="1"/>
  <c r="F462" i="8" s="1"/>
  <c r="D461" i="8"/>
  <c r="C461" i="8"/>
  <c r="E461" i="8" s="1"/>
  <c r="F461" i="8" s="1"/>
  <c r="D460" i="8"/>
  <c r="C460" i="8"/>
  <c r="E460" i="8" s="1"/>
  <c r="F460" i="8" s="1"/>
  <c r="D459" i="8"/>
  <c r="C459" i="8"/>
  <c r="E459" i="8" s="1"/>
  <c r="F459" i="8" s="1"/>
  <c r="D458" i="8"/>
  <c r="C458" i="8"/>
  <c r="E458" i="8" s="1"/>
  <c r="F458" i="8" s="1"/>
  <c r="D457" i="8"/>
  <c r="C457" i="8"/>
  <c r="E457" i="8" s="1"/>
  <c r="F457" i="8" s="1"/>
  <c r="D456" i="8"/>
  <c r="C456" i="8"/>
  <c r="E456" i="8" s="1"/>
  <c r="F456" i="8" s="1"/>
  <c r="D455" i="8"/>
  <c r="C455" i="8"/>
  <c r="E455" i="8" s="1"/>
  <c r="F455" i="8" s="1"/>
  <c r="D454" i="8"/>
  <c r="C454" i="8"/>
  <c r="E454" i="8" s="1"/>
  <c r="F454" i="8" s="1"/>
  <c r="D453" i="8"/>
  <c r="C453" i="8"/>
  <c r="E453" i="8" s="1"/>
  <c r="F453" i="8" s="1"/>
  <c r="D452" i="8"/>
  <c r="C452" i="8"/>
  <c r="E452" i="8" s="1"/>
  <c r="F452" i="8" s="1"/>
  <c r="D451" i="8"/>
  <c r="C451" i="8"/>
  <c r="E451" i="8" s="1"/>
  <c r="F451" i="8" s="1"/>
  <c r="D450" i="8"/>
  <c r="C450" i="8"/>
  <c r="E450" i="8" s="1"/>
  <c r="F450" i="8" s="1"/>
  <c r="D449" i="8"/>
  <c r="C449" i="8"/>
  <c r="E449" i="8" s="1"/>
  <c r="F449" i="8" s="1"/>
  <c r="D448" i="8"/>
  <c r="C448" i="8"/>
  <c r="E448" i="8" s="1"/>
  <c r="F448" i="8" s="1"/>
  <c r="D447" i="8"/>
  <c r="C447" i="8"/>
  <c r="E447" i="8" s="1"/>
  <c r="F447" i="8" s="1"/>
  <c r="D446" i="8"/>
  <c r="C446" i="8"/>
  <c r="E446" i="8" s="1"/>
  <c r="F446" i="8" s="1"/>
  <c r="D445" i="8"/>
  <c r="C445" i="8"/>
  <c r="E445" i="8" s="1"/>
  <c r="F445" i="8" s="1"/>
  <c r="D444" i="8"/>
  <c r="C444" i="8"/>
  <c r="E444" i="8" s="1"/>
  <c r="F444" i="8" s="1"/>
  <c r="D443" i="8"/>
  <c r="C443" i="8"/>
  <c r="E443" i="8" s="1"/>
  <c r="F443" i="8" s="1"/>
  <c r="D442" i="8"/>
  <c r="C442" i="8"/>
  <c r="E442" i="8" s="1"/>
  <c r="F442" i="8" s="1"/>
  <c r="D441" i="8"/>
  <c r="C441" i="8"/>
  <c r="E441" i="8" s="1"/>
  <c r="F441" i="8" s="1"/>
  <c r="D440" i="8"/>
  <c r="C440" i="8"/>
  <c r="E440" i="8" s="1"/>
  <c r="F440" i="8" s="1"/>
  <c r="D439" i="8"/>
  <c r="C439" i="8"/>
  <c r="E439" i="8" s="1"/>
  <c r="F439" i="8" s="1"/>
  <c r="D438" i="8"/>
  <c r="C438" i="8"/>
  <c r="E438" i="8" s="1"/>
  <c r="F438" i="8" s="1"/>
  <c r="D437" i="8"/>
  <c r="C437" i="8"/>
  <c r="E437" i="8" s="1"/>
  <c r="F437" i="8" s="1"/>
  <c r="D436" i="8"/>
  <c r="C436" i="8"/>
  <c r="E436" i="8" s="1"/>
  <c r="F436" i="8" s="1"/>
  <c r="D435" i="8"/>
  <c r="C435" i="8"/>
  <c r="E435" i="8" s="1"/>
  <c r="F435" i="8" s="1"/>
  <c r="D434" i="8"/>
  <c r="C434" i="8"/>
  <c r="E434" i="8" s="1"/>
  <c r="F434" i="8" s="1"/>
  <c r="D433" i="8"/>
  <c r="C433" i="8"/>
  <c r="E433" i="8" s="1"/>
  <c r="F433" i="8" s="1"/>
  <c r="D432" i="8"/>
  <c r="C432" i="8"/>
  <c r="E432" i="8" s="1"/>
  <c r="F432" i="8" s="1"/>
  <c r="D431" i="8"/>
  <c r="C431" i="8"/>
  <c r="E431" i="8" s="1"/>
  <c r="F431" i="8" s="1"/>
  <c r="D430" i="8"/>
  <c r="C430" i="8"/>
  <c r="E430" i="8" s="1"/>
  <c r="F430" i="8" s="1"/>
  <c r="D429" i="8"/>
  <c r="C429" i="8"/>
  <c r="E429" i="8" s="1"/>
  <c r="F429" i="8" s="1"/>
  <c r="D428" i="8"/>
  <c r="C428" i="8"/>
  <c r="E428" i="8" s="1"/>
  <c r="F428" i="8" s="1"/>
  <c r="D427" i="8"/>
  <c r="C427" i="8"/>
  <c r="E427" i="8" s="1"/>
  <c r="F427" i="8" s="1"/>
  <c r="D426" i="8"/>
  <c r="C426" i="8"/>
  <c r="E426" i="8" s="1"/>
  <c r="F426" i="8" s="1"/>
  <c r="D425" i="8"/>
  <c r="C425" i="8"/>
  <c r="E425" i="8" s="1"/>
  <c r="F425" i="8" s="1"/>
  <c r="D424" i="8"/>
  <c r="C424" i="8"/>
  <c r="E424" i="8" s="1"/>
  <c r="F424" i="8" s="1"/>
  <c r="D423" i="8"/>
  <c r="C423" i="8"/>
  <c r="E423" i="8" s="1"/>
  <c r="F423" i="8" s="1"/>
  <c r="D422" i="8"/>
  <c r="C422" i="8"/>
  <c r="E422" i="8" s="1"/>
  <c r="F422" i="8" s="1"/>
  <c r="D421" i="8"/>
  <c r="C421" i="8"/>
  <c r="E421" i="8" s="1"/>
  <c r="F421" i="8" s="1"/>
  <c r="D420" i="8"/>
  <c r="C420" i="8"/>
  <c r="E420" i="8" s="1"/>
  <c r="F420" i="8" s="1"/>
  <c r="D419" i="8"/>
  <c r="C419" i="8"/>
  <c r="E419" i="8" s="1"/>
  <c r="F419" i="8" s="1"/>
  <c r="D418" i="8"/>
  <c r="C418" i="8"/>
  <c r="E418" i="8" s="1"/>
  <c r="F418" i="8" s="1"/>
  <c r="D417" i="8"/>
  <c r="C417" i="8"/>
  <c r="E417" i="8" s="1"/>
  <c r="F417" i="8" s="1"/>
  <c r="D416" i="8"/>
  <c r="C416" i="8"/>
  <c r="E416" i="8" s="1"/>
  <c r="F416" i="8" s="1"/>
  <c r="D415" i="8"/>
  <c r="C415" i="8"/>
  <c r="E415" i="8" s="1"/>
  <c r="F415" i="8" s="1"/>
  <c r="D414" i="8"/>
  <c r="C414" i="8"/>
  <c r="E414" i="8" s="1"/>
  <c r="F414" i="8" s="1"/>
  <c r="D413" i="8"/>
  <c r="C413" i="8"/>
  <c r="E413" i="8" s="1"/>
  <c r="F413" i="8" s="1"/>
  <c r="D412" i="8"/>
  <c r="C412" i="8"/>
  <c r="E412" i="8" s="1"/>
  <c r="F412" i="8" s="1"/>
  <c r="D411" i="8"/>
  <c r="C411" i="8"/>
  <c r="E411" i="8" s="1"/>
  <c r="F411" i="8" s="1"/>
  <c r="D410" i="8"/>
  <c r="C410" i="8"/>
  <c r="E410" i="8" s="1"/>
  <c r="F410" i="8" s="1"/>
  <c r="D409" i="8"/>
  <c r="C409" i="8"/>
  <c r="E409" i="8" s="1"/>
  <c r="F409" i="8" s="1"/>
  <c r="D408" i="8"/>
  <c r="C408" i="8"/>
  <c r="E408" i="8" s="1"/>
  <c r="F408" i="8" s="1"/>
  <c r="D407" i="8"/>
  <c r="C407" i="8"/>
  <c r="E407" i="8" s="1"/>
  <c r="F407" i="8" s="1"/>
  <c r="D406" i="8"/>
  <c r="C406" i="8"/>
  <c r="E406" i="8" s="1"/>
  <c r="F406" i="8" s="1"/>
  <c r="D405" i="8"/>
  <c r="C405" i="8"/>
  <c r="E405" i="8" s="1"/>
  <c r="F405" i="8" s="1"/>
  <c r="D404" i="8"/>
  <c r="C404" i="8"/>
  <c r="E404" i="8" s="1"/>
  <c r="F404" i="8" s="1"/>
  <c r="D403" i="8"/>
  <c r="C403" i="8"/>
  <c r="E403" i="8" s="1"/>
  <c r="F403" i="8" s="1"/>
  <c r="D402" i="8"/>
  <c r="C402" i="8"/>
  <c r="E402" i="8" s="1"/>
  <c r="F402" i="8" s="1"/>
  <c r="D401" i="8"/>
  <c r="C401" i="8"/>
  <c r="E401" i="8" s="1"/>
  <c r="F401" i="8" s="1"/>
  <c r="D400" i="8"/>
  <c r="C400" i="8"/>
  <c r="E400" i="8" s="1"/>
  <c r="F400" i="8" s="1"/>
  <c r="D399" i="8"/>
  <c r="C399" i="8"/>
  <c r="E399" i="8" s="1"/>
  <c r="F399" i="8" s="1"/>
  <c r="D398" i="8"/>
  <c r="C398" i="8"/>
  <c r="E398" i="8" s="1"/>
  <c r="F398" i="8" s="1"/>
  <c r="D397" i="8"/>
  <c r="C397" i="8"/>
  <c r="E397" i="8" s="1"/>
  <c r="F397" i="8" s="1"/>
  <c r="D396" i="8"/>
  <c r="C396" i="8"/>
  <c r="E396" i="8" s="1"/>
  <c r="F396" i="8" s="1"/>
  <c r="D395" i="8"/>
  <c r="C395" i="8"/>
  <c r="E395" i="8" s="1"/>
  <c r="F395" i="8" s="1"/>
  <c r="D394" i="8"/>
  <c r="C394" i="8"/>
  <c r="E394" i="8" s="1"/>
  <c r="F394" i="8" s="1"/>
  <c r="D393" i="8"/>
  <c r="C393" i="8"/>
  <c r="E393" i="8" s="1"/>
  <c r="F393" i="8" s="1"/>
  <c r="D392" i="8"/>
  <c r="C392" i="8"/>
  <c r="E392" i="8" s="1"/>
  <c r="F392" i="8" s="1"/>
  <c r="D391" i="8"/>
  <c r="C391" i="8"/>
  <c r="E391" i="8" s="1"/>
  <c r="F391" i="8" s="1"/>
  <c r="D390" i="8"/>
  <c r="C390" i="8"/>
  <c r="E390" i="8" s="1"/>
  <c r="F390" i="8" s="1"/>
  <c r="D389" i="8"/>
  <c r="C389" i="8"/>
  <c r="E389" i="8" s="1"/>
  <c r="F389" i="8" s="1"/>
  <c r="D388" i="8"/>
  <c r="C388" i="8"/>
  <c r="E388" i="8" s="1"/>
  <c r="F388" i="8" s="1"/>
  <c r="D387" i="8"/>
  <c r="C387" i="8"/>
  <c r="E387" i="8" s="1"/>
  <c r="F387" i="8" s="1"/>
  <c r="D386" i="8"/>
  <c r="C386" i="8"/>
  <c r="E386" i="8" s="1"/>
  <c r="F386" i="8" s="1"/>
  <c r="D385" i="8"/>
  <c r="C385" i="8"/>
  <c r="E385" i="8" s="1"/>
  <c r="F385" i="8" s="1"/>
  <c r="D384" i="8"/>
  <c r="C384" i="8"/>
  <c r="E384" i="8" s="1"/>
  <c r="F384" i="8" s="1"/>
  <c r="D383" i="8"/>
  <c r="C383" i="8"/>
  <c r="E383" i="8" s="1"/>
  <c r="F383" i="8" s="1"/>
  <c r="D382" i="8"/>
  <c r="C382" i="8"/>
  <c r="E382" i="8" s="1"/>
  <c r="F382" i="8" s="1"/>
  <c r="D381" i="8"/>
  <c r="C381" i="8"/>
  <c r="E381" i="8" s="1"/>
  <c r="F381" i="8" s="1"/>
  <c r="D380" i="8"/>
  <c r="C380" i="8"/>
  <c r="E380" i="8" s="1"/>
  <c r="F380" i="8" s="1"/>
  <c r="D379" i="8"/>
  <c r="C379" i="8"/>
  <c r="E379" i="8" s="1"/>
  <c r="F379" i="8" s="1"/>
  <c r="D378" i="8"/>
  <c r="C378" i="8"/>
  <c r="E378" i="8" s="1"/>
  <c r="F378" i="8" s="1"/>
  <c r="D377" i="8"/>
  <c r="C377" i="8"/>
  <c r="E377" i="8" s="1"/>
  <c r="F377" i="8" s="1"/>
  <c r="D376" i="8"/>
  <c r="C376" i="8"/>
  <c r="E376" i="8" s="1"/>
  <c r="F376" i="8" s="1"/>
  <c r="D375" i="8"/>
  <c r="C375" i="8"/>
  <c r="E375" i="8" s="1"/>
  <c r="F375" i="8" s="1"/>
  <c r="D374" i="8"/>
  <c r="C374" i="8"/>
  <c r="E374" i="8" s="1"/>
  <c r="F374" i="8" s="1"/>
  <c r="D373" i="8"/>
  <c r="C373" i="8"/>
  <c r="E373" i="8" s="1"/>
  <c r="F373" i="8" s="1"/>
  <c r="D372" i="8"/>
  <c r="C372" i="8"/>
  <c r="E372" i="8" s="1"/>
  <c r="F372" i="8" s="1"/>
  <c r="D371" i="8"/>
  <c r="C371" i="8"/>
  <c r="E371" i="8" s="1"/>
  <c r="F371" i="8" s="1"/>
  <c r="D370" i="8"/>
  <c r="C370" i="8"/>
  <c r="E370" i="8" s="1"/>
  <c r="F370" i="8" s="1"/>
  <c r="D369" i="8"/>
  <c r="C369" i="8"/>
  <c r="E369" i="8" s="1"/>
  <c r="F369" i="8" s="1"/>
  <c r="D368" i="8"/>
  <c r="C368" i="8"/>
  <c r="E368" i="8" s="1"/>
  <c r="F368" i="8" s="1"/>
  <c r="D367" i="8"/>
  <c r="C367" i="8"/>
  <c r="E367" i="8" s="1"/>
  <c r="F367" i="8" s="1"/>
  <c r="D366" i="8"/>
  <c r="C366" i="8"/>
  <c r="E366" i="8" s="1"/>
  <c r="F366" i="8" s="1"/>
  <c r="D365" i="8"/>
  <c r="C365" i="8"/>
  <c r="E365" i="8" s="1"/>
  <c r="F365" i="8" s="1"/>
  <c r="D364" i="8"/>
  <c r="C364" i="8"/>
  <c r="E364" i="8" s="1"/>
  <c r="F364" i="8" s="1"/>
  <c r="D363" i="8"/>
  <c r="C363" i="8"/>
  <c r="E363" i="8" s="1"/>
  <c r="F363" i="8" s="1"/>
  <c r="D362" i="8"/>
  <c r="C362" i="8"/>
  <c r="E362" i="8" s="1"/>
  <c r="F362" i="8" s="1"/>
  <c r="D361" i="8"/>
  <c r="C361" i="8"/>
  <c r="E361" i="8" s="1"/>
  <c r="F361" i="8" s="1"/>
  <c r="D360" i="8"/>
  <c r="C360" i="8"/>
  <c r="E360" i="8" s="1"/>
  <c r="F360" i="8" s="1"/>
  <c r="D359" i="8"/>
  <c r="C359" i="8"/>
  <c r="E359" i="8" s="1"/>
  <c r="F359" i="8" s="1"/>
  <c r="D358" i="8"/>
  <c r="C358" i="8"/>
  <c r="E358" i="8" s="1"/>
  <c r="F358" i="8" s="1"/>
  <c r="D357" i="8"/>
  <c r="C357" i="8"/>
  <c r="E357" i="8" s="1"/>
  <c r="F357" i="8" s="1"/>
  <c r="D356" i="8"/>
  <c r="C356" i="8"/>
  <c r="E356" i="8" s="1"/>
  <c r="F356" i="8" s="1"/>
  <c r="D355" i="8"/>
  <c r="C355" i="8"/>
  <c r="E355" i="8" s="1"/>
  <c r="F355" i="8" s="1"/>
  <c r="D354" i="8"/>
  <c r="C354" i="8"/>
  <c r="E354" i="8" s="1"/>
  <c r="F354" i="8" s="1"/>
  <c r="D353" i="8"/>
  <c r="C353" i="8"/>
  <c r="E353" i="8" s="1"/>
  <c r="F353" i="8" s="1"/>
  <c r="D352" i="8"/>
  <c r="C352" i="8"/>
  <c r="E352" i="8" s="1"/>
  <c r="F352" i="8" s="1"/>
  <c r="D351" i="8"/>
  <c r="C351" i="8"/>
  <c r="E351" i="8" s="1"/>
  <c r="F351" i="8" s="1"/>
  <c r="D350" i="8"/>
  <c r="C350" i="8"/>
  <c r="E350" i="8" s="1"/>
  <c r="F350" i="8" s="1"/>
  <c r="D349" i="8"/>
  <c r="C349" i="8"/>
  <c r="E349" i="8" s="1"/>
  <c r="F349" i="8" s="1"/>
  <c r="D348" i="8"/>
  <c r="C348" i="8"/>
  <c r="E348" i="8" s="1"/>
  <c r="F348" i="8" s="1"/>
  <c r="D347" i="8"/>
  <c r="C347" i="8"/>
  <c r="E347" i="8" s="1"/>
  <c r="F347" i="8" s="1"/>
  <c r="D346" i="8"/>
  <c r="C346" i="8"/>
  <c r="E346" i="8" s="1"/>
  <c r="F346" i="8" s="1"/>
  <c r="D345" i="8"/>
  <c r="C345" i="8"/>
  <c r="E345" i="8" s="1"/>
  <c r="F345" i="8" s="1"/>
  <c r="D344" i="8"/>
  <c r="C344" i="8"/>
  <c r="E344" i="8" s="1"/>
  <c r="F344" i="8" s="1"/>
  <c r="D343" i="8"/>
  <c r="C343" i="8"/>
  <c r="E343" i="8" s="1"/>
  <c r="F343" i="8" s="1"/>
  <c r="D342" i="8"/>
  <c r="C342" i="8"/>
  <c r="E342" i="8" s="1"/>
  <c r="F342" i="8" s="1"/>
  <c r="D341" i="8"/>
  <c r="C341" i="8"/>
  <c r="E341" i="8" s="1"/>
  <c r="F341" i="8" s="1"/>
  <c r="D340" i="8"/>
  <c r="C340" i="8"/>
  <c r="E340" i="8" s="1"/>
  <c r="F340" i="8" s="1"/>
  <c r="D339" i="8"/>
  <c r="C339" i="8"/>
  <c r="E339" i="8" s="1"/>
  <c r="F339" i="8" s="1"/>
  <c r="D338" i="8"/>
  <c r="C338" i="8"/>
  <c r="E338" i="8" s="1"/>
  <c r="F338" i="8" s="1"/>
  <c r="D337" i="8"/>
  <c r="C337" i="8"/>
  <c r="E337" i="8" s="1"/>
  <c r="F337" i="8" s="1"/>
  <c r="D336" i="8"/>
  <c r="C336" i="8"/>
  <c r="E336" i="8" s="1"/>
  <c r="F336" i="8" s="1"/>
  <c r="D335" i="8"/>
  <c r="C335" i="8"/>
  <c r="E335" i="8" s="1"/>
  <c r="F335" i="8" s="1"/>
  <c r="D334" i="8"/>
  <c r="C334" i="8"/>
  <c r="E334" i="8" s="1"/>
  <c r="F334" i="8" s="1"/>
  <c r="D333" i="8"/>
  <c r="C333" i="8"/>
  <c r="E333" i="8" s="1"/>
  <c r="F333" i="8" s="1"/>
  <c r="D332" i="8"/>
  <c r="C332" i="8"/>
  <c r="E332" i="8" s="1"/>
  <c r="F332" i="8" s="1"/>
  <c r="D331" i="8"/>
  <c r="C331" i="8"/>
  <c r="E331" i="8" s="1"/>
  <c r="F331" i="8" s="1"/>
  <c r="D330" i="8"/>
  <c r="C330" i="8"/>
  <c r="E330" i="8" s="1"/>
  <c r="F330" i="8" s="1"/>
  <c r="D329" i="8"/>
  <c r="C329" i="8"/>
  <c r="E329" i="8" s="1"/>
  <c r="F329" i="8" s="1"/>
  <c r="D328" i="8"/>
  <c r="C328" i="8"/>
  <c r="E328" i="8" s="1"/>
  <c r="F328" i="8" s="1"/>
  <c r="D327" i="8"/>
  <c r="C327" i="8"/>
  <c r="E327" i="8" s="1"/>
  <c r="F327" i="8" s="1"/>
  <c r="D326" i="8"/>
  <c r="C326" i="8"/>
  <c r="E326" i="8" s="1"/>
  <c r="F326" i="8" s="1"/>
  <c r="D325" i="8"/>
  <c r="C325" i="8"/>
  <c r="E325" i="8" s="1"/>
  <c r="F325" i="8" s="1"/>
  <c r="D324" i="8"/>
  <c r="C324" i="8"/>
  <c r="E324" i="8" s="1"/>
  <c r="F324" i="8" s="1"/>
  <c r="D323" i="8"/>
  <c r="C323" i="8"/>
  <c r="E323" i="8" s="1"/>
  <c r="F323" i="8" s="1"/>
  <c r="D322" i="8"/>
  <c r="C322" i="8"/>
  <c r="E322" i="8" s="1"/>
  <c r="F322" i="8" s="1"/>
  <c r="D321" i="8"/>
  <c r="C321" i="8"/>
  <c r="E321" i="8" s="1"/>
  <c r="F321" i="8" s="1"/>
  <c r="D320" i="8"/>
  <c r="C320" i="8"/>
  <c r="E320" i="8" s="1"/>
  <c r="F320" i="8" s="1"/>
  <c r="D319" i="8"/>
  <c r="C319" i="8"/>
  <c r="E319" i="8" s="1"/>
  <c r="F319" i="8" s="1"/>
  <c r="D318" i="8"/>
  <c r="C318" i="8"/>
  <c r="E318" i="8" s="1"/>
  <c r="F318" i="8" s="1"/>
  <c r="D317" i="8"/>
  <c r="C317" i="8"/>
  <c r="E317" i="8" s="1"/>
  <c r="F317" i="8" s="1"/>
  <c r="D316" i="8"/>
  <c r="C316" i="8"/>
  <c r="E316" i="8" s="1"/>
  <c r="F316" i="8" s="1"/>
  <c r="D315" i="8"/>
  <c r="C315" i="8"/>
  <c r="E315" i="8" s="1"/>
  <c r="F315" i="8" s="1"/>
  <c r="D314" i="8"/>
  <c r="C314" i="8"/>
  <c r="E314" i="8" s="1"/>
  <c r="F314" i="8" s="1"/>
  <c r="D313" i="8"/>
  <c r="C313" i="8"/>
  <c r="E313" i="8" s="1"/>
  <c r="F313" i="8" s="1"/>
  <c r="D312" i="8"/>
  <c r="C312" i="8"/>
  <c r="E312" i="8" s="1"/>
  <c r="F312" i="8" s="1"/>
  <c r="D311" i="8"/>
  <c r="C311" i="8"/>
  <c r="E311" i="8" s="1"/>
  <c r="F311" i="8" s="1"/>
  <c r="D310" i="8"/>
  <c r="C310" i="8"/>
  <c r="E310" i="8" s="1"/>
  <c r="F310" i="8" s="1"/>
  <c r="D309" i="8"/>
  <c r="C309" i="8"/>
  <c r="E309" i="8" s="1"/>
  <c r="F309" i="8" s="1"/>
  <c r="D308" i="8"/>
  <c r="C308" i="8"/>
  <c r="E308" i="8" s="1"/>
  <c r="F308" i="8" s="1"/>
  <c r="D307" i="8"/>
  <c r="C307" i="8"/>
  <c r="E307" i="8" s="1"/>
  <c r="F307" i="8" s="1"/>
  <c r="D306" i="8"/>
  <c r="C306" i="8"/>
  <c r="E306" i="8" s="1"/>
  <c r="F306" i="8" s="1"/>
  <c r="D305" i="8"/>
  <c r="C305" i="8"/>
  <c r="E305" i="8" s="1"/>
  <c r="F305" i="8" s="1"/>
  <c r="D304" i="8"/>
  <c r="C304" i="8"/>
  <c r="E304" i="8" s="1"/>
  <c r="F304" i="8" s="1"/>
  <c r="D303" i="8"/>
  <c r="C303" i="8"/>
  <c r="E303" i="8" s="1"/>
  <c r="F303" i="8" s="1"/>
  <c r="D302" i="8"/>
  <c r="C302" i="8"/>
  <c r="E302" i="8" s="1"/>
  <c r="F302" i="8" s="1"/>
  <c r="D301" i="8"/>
  <c r="C301" i="8"/>
  <c r="E301" i="8" s="1"/>
  <c r="F301" i="8" s="1"/>
  <c r="D300" i="8"/>
  <c r="C300" i="8"/>
  <c r="E300" i="8" s="1"/>
  <c r="F300" i="8" s="1"/>
  <c r="D299" i="8"/>
  <c r="C299" i="8"/>
  <c r="E299" i="8" s="1"/>
  <c r="F299" i="8" s="1"/>
  <c r="D298" i="8"/>
  <c r="C298" i="8"/>
  <c r="E298" i="8" s="1"/>
  <c r="F298" i="8" s="1"/>
  <c r="D297" i="8"/>
  <c r="C297" i="8"/>
  <c r="E297" i="8" s="1"/>
  <c r="F297" i="8" s="1"/>
  <c r="D296" i="8"/>
  <c r="C296" i="8"/>
  <c r="E296" i="8" s="1"/>
  <c r="F296" i="8" s="1"/>
  <c r="D295" i="8"/>
  <c r="C295" i="8"/>
  <c r="E295" i="8" s="1"/>
  <c r="F295" i="8" s="1"/>
  <c r="D294" i="8"/>
  <c r="C294" i="8"/>
  <c r="E294" i="8" s="1"/>
  <c r="F294" i="8" s="1"/>
  <c r="D293" i="8"/>
  <c r="C293" i="8"/>
  <c r="E293" i="8" s="1"/>
  <c r="F293" i="8" s="1"/>
  <c r="D292" i="8"/>
  <c r="C292" i="8"/>
  <c r="E292" i="8" s="1"/>
  <c r="F292" i="8" s="1"/>
  <c r="D291" i="8"/>
  <c r="C291" i="8"/>
  <c r="E291" i="8" s="1"/>
  <c r="F291" i="8" s="1"/>
  <c r="D290" i="8"/>
  <c r="C290" i="8"/>
  <c r="E290" i="8" s="1"/>
  <c r="F290" i="8" s="1"/>
  <c r="D289" i="8"/>
  <c r="C289" i="8"/>
  <c r="E289" i="8" s="1"/>
  <c r="F289" i="8" s="1"/>
  <c r="D288" i="8"/>
  <c r="C288" i="8"/>
  <c r="E288" i="8" s="1"/>
  <c r="F288" i="8" s="1"/>
  <c r="D287" i="8"/>
  <c r="C287" i="8"/>
  <c r="E287" i="8" s="1"/>
  <c r="F287" i="8" s="1"/>
  <c r="D286" i="8"/>
  <c r="C286" i="8"/>
  <c r="E286" i="8" s="1"/>
  <c r="F286" i="8" s="1"/>
  <c r="D285" i="8"/>
  <c r="C285" i="8"/>
  <c r="E285" i="8" s="1"/>
  <c r="F285" i="8" s="1"/>
  <c r="D284" i="8"/>
  <c r="C284" i="8"/>
  <c r="E284" i="8" s="1"/>
  <c r="F284" i="8" s="1"/>
  <c r="D283" i="8"/>
  <c r="C283" i="8"/>
  <c r="E283" i="8" s="1"/>
  <c r="F283" i="8" s="1"/>
  <c r="D282" i="8"/>
  <c r="C282" i="8"/>
  <c r="E282" i="8" s="1"/>
  <c r="F282" i="8" s="1"/>
  <c r="D281" i="8"/>
  <c r="C281" i="8"/>
  <c r="E281" i="8" s="1"/>
  <c r="F281" i="8" s="1"/>
  <c r="D280" i="8"/>
  <c r="C280" i="8"/>
  <c r="E280" i="8" s="1"/>
  <c r="F280" i="8" s="1"/>
  <c r="D279" i="8"/>
  <c r="C279" i="8"/>
  <c r="E279" i="8" s="1"/>
  <c r="F279" i="8" s="1"/>
  <c r="D278" i="8"/>
  <c r="C278" i="8"/>
  <c r="E278" i="8" s="1"/>
  <c r="F278" i="8" s="1"/>
  <c r="D277" i="8"/>
  <c r="C277" i="8"/>
  <c r="E277" i="8" s="1"/>
  <c r="F277" i="8" s="1"/>
  <c r="D276" i="8"/>
  <c r="C276" i="8"/>
  <c r="E276" i="8" s="1"/>
  <c r="F276" i="8" s="1"/>
  <c r="D275" i="8"/>
  <c r="C275" i="8"/>
  <c r="E275" i="8" s="1"/>
  <c r="F275" i="8" s="1"/>
  <c r="D274" i="8"/>
  <c r="C274" i="8"/>
  <c r="E274" i="8" s="1"/>
  <c r="F274" i="8" s="1"/>
  <c r="D273" i="8"/>
  <c r="C273" i="8"/>
  <c r="E273" i="8" s="1"/>
  <c r="F273" i="8" s="1"/>
  <c r="D272" i="8"/>
  <c r="C272" i="8"/>
  <c r="E272" i="8" s="1"/>
  <c r="F272" i="8" s="1"/>
  <c r="D271" i="8"/>
  <c r="C271" i="8"/>
  <c r="E271" i="8" s="1"/>
  <c r="F271" i="8" s="1"/>
  <c r="D270" i="8"/>
  <c r="C270" i="8"/>
  <c r="E270" i="8" s="1"/>
  <c r="F270" i="8" s="1"/>
  <c r="D269" i="8"/>
  <c r="C269" i="8"/>
  <c r="E269" i="8" s="1"/>
  <c r="F269" i="8" s="1"/>
  <c r="D268" i="8"/>
  <c r="C268" i="8"/>
  <c r="E268" i="8" s="1"/>
  <c r="F268" i="8" s="1"/>
  <c r="D267" i="8"/>
  <c r="C267" i="8"/>
  <c r="E267" i="8" s="1"/>
  <c r="F267" i="8" s="1"/>
  <c r="D266" i="8"/>
  <c r="C266" i="8"/>
  <c r="E266" i="8" s="1"/>
  <c r="F266" i="8" s="1"/>
  <c r="D265" i="8"/>
  <c r="C265" i="8"/>
  <c r="E265" i="8" s="1"/>
  <c r="F265" i="8" s="1"/>
  <c r="D264" i="8"/>
  <c r="C264" i="8"/>
  <c r="E264" i="8" s="1"/>
  <c r="F264" i="8" s="1"/>
  <c r="D263" i="8"/>
  <c r="C263" i="8"/>
  <c r="E263" i="8" s="1"/>
  <c r="F263" i="8" s="1"/>
  <c r="D262" i="8"/>
  <c r="C262" i="8"/>
  <c r="E262" i="8" s="1"/>
  <c r="F262" i="8" s="1"/>
  <c r="D261" i="8"/>
  <c r="C261" i="8"/>
  <c r="E261" i="8" s="1"/>
  <c r="F261" i="8" s="1"/>
  <c r="D260" i="8"/>
  <c r="C260" i="8"/>
  <c r="E260" i="8" s="1"/>
  <c r="F260" i="8" s="1"/>
  <c r="D259" i="8"/>
  <c r="C259" i="8"/>
  <c r="E259" i="8" s="1"/>
  <c r="F259" i="8" s="1"/>
  <c r="D258" i="8"/>
  <c r="C258" i="8"/>
  <c r="E258" i="8" s="1"/>
  <c r="F258" i="8" s="1"/>
  <c r="D257" i="8"/>
  <c r="C257" i="8"/>
  <c r="E257" i="8" s="1"/>
  <c r="F257" i="8" s="1"/>
  <c r="D256" i="8"/>
  <c r="C256" i="8"/>
  <c r="E256" i="8" s="1"/>
  <c r="F256" i="8" s="1"/>
  <c r="D255" i="8"/>
  <c r="C255" i="8"/>
  <c r="E255" i="8" s="1"/>
  <c r="F255" i="8" s="1"/>
  <c r="D254" i="8"/>
  <c r="C254" i="8"/>
  <c r="E254" i="8" s="1"/>
  <c r="F254" i="8" s="1"/>
  <c r="D253" i="8"/>
  <c r="C253" i="8"/>
  <c r="E253" i="8" s="1"/>
  <c r="F253" i="8" s="1"/>
  <c r="D252" i="8"/>
  <c r="C252" i="8"/>
  <c r="E252" i="8" s="1"/>
  <c r="F252" i="8" s="1"/>
  <c r="D251" i="8"/>
  <c r="C251" i="8"/>
  <c r="E251" i="8" s="1"/>
  <c r="F251" i="8" s="1"/>
  <c r="D250" i="8"/>
  <c r="C250" i="8"/>
  <c r="E250" i="8" s="1"/>
  <c r="F250" i="8" s="1"/>
  <c r="D249" i="8"/>
  <c r="C249" i="8"/>
  <c r="E249" i="8" s="1"/>
  <c r="F249" i="8" s="1"/>
  <c r="D248" i="8"/>
  <c r="C248" i="8"/>
  <c r="E248" i="8" s="1"/>
  <c r="F248" i="8" s="1"/>
  <c r="D247" i="8"/>
  <c r="C247" i="8"/>
  <c r="E247" i="8" s="1"/>
  <c r="F247" i="8" s="1"/>
  <c r="D246" i="8"/>
  <c r="C246" i="8"/>
  <c r="E246" i="8" s="1"/>
  <c r="F246" i="8" s="1"/>
  <c r="D245" i="8"/>
  <c r="C245" i="8"/>
  <c r="E245" i="8" s="1"/>
  <c r="F245" i="8" s="1"/>
  <c r="D244" i="8"/>
  <c r="C244" i="8"/>
  <c r="E244" i="8" s="1"/>
  <c r="F244" i="8" s="1"/>
  <c r="D243" i="8"/>
  <c r="C243" i="8"/>
  <c r="E243" i="8" s="1"/>
  <c r="F243" i="8" s="1"/>
  <c r="D242" i="8"/>
  <c r="C242" i="8"/>
  <c r="E242" i="8" s="1"/>
  <c r="F242" i="8" s="1"/>
  <c r="D241" i="8"/>
  <c r="C241" i="8"/>
  <c r="E241" i="8" s="1"/>
  <c r="F241" i="8" s="1"/>
  <c r="D240" i="8"/>
  <c r="C240" i="8"/>
  <c r="E240" i="8" s="1"/>
  <c r="F240" i="8" s="1"/>
  <c r="D239" i="8"/>
  <c r="C239" i="8"/>
  <c r="E239" i="8" s="1"/>
  <c r="F239" i="8" s="1"/>
  <c r="D238" i="8"/>
  <c r="C238" i="8"/>
  <c r="E238" i="8" s="1"/>
  <c r="F238" i="8" s="1"/>
  <c r="D237" i="8"/>
  <c r="C237" i="8"/>
  <c r="E237" i="8" s="1"/>
  <c r="F237" i="8" s="1"/>
  <c r="D236" i="8"/>
  <c r="C236" i="8"/>
  <c r="E236" i="8" s="1"/>
  <c r="F236" i="8" s="1"/>
  <c r="D235" i="8"/>
  <c r="C235" i="8"/>
  <c r="E235" i="8" s="1"/>
  <c r="F235" i="8" s="1"/>
  <c r="D234" i="8"/>
  <c r="C234" i="8"/>
  <c r="E234" i="8" s="1"/>
  <c r="F234" i="8" s="1"/>
  <c r="D233" i="8"/>
  <c r="C233" i="8"/>
  <c r="E233" i="8" s="1"/>
  <c r="F233" i="8" s="1"/>
  <c r="D232" i="8"/>
  <c r="C232" i="8"/>
  <c r="E232" i="8" s="1"/>
  <c r="F232" i="8" s="1"/>
  <c r="D231" i="8"/>
  <c r="C231" i="8"/>
  <c r="E231" i="8" s="1"/>
  <c r="F231" i="8" s="1"/>
  <c r="D230" i="8"/>
  <c r="C230" i="8"/>
  <c r="E230" i="8" s="1"/>
  <c r="F230" i="8" s="1"/>
  <c r="D229" i="8"/>
  <c r="C229" i="8"/>
  <c r="E229" i="8" s="1"/>
  <c r="F229" i="8" s="1"/>
  <c r="D228" i="8"/>
  <c r="C228" i="8"/>
  <c r="E228" i="8" s="1"/>
  <c r="F228" i="8" s="1"/>
  <c r="D227" i="8"/>
  <c r="C227" i="8"/>
  <c r="E227" i="8" s="1"/>
  <c r="F227" i="8" s="1"/>
  <c r="D226" i="8"/>
  <c r="C226" i="8"/>
  <c r="E226" i="8" s="1"/>
  <c r="F226" i="8" s="1"/>
  <c r="D225" i="8"/>
  <c r="C225" i="8"/>
  <c r="E225" i="8" s="1"/>
  <c r="F225" i="8" s="1"/>
  <c r="D224" i="8"/>
  <c r="C224" i="8"/>
  <c r="E224" i="8" s="1"/>
  <c r="F224" i="8" s="1"/>
  <c r="D223" i="8"/>
  <c r="C223" i="8"/>
  <c r="E223" i="8" s="1"/>
  <c r="F223" i="8" s="1"/>
  <c r="D222" i="8"/>
  <c r="C222" i="8"/>
  <c r="E222" i="8" s="1"/>
  <c r="F222" i="8" s="1"/>
  <c r="D221" i="8"/>
  <c r="C221" i="8"/>
  <c r="E221" i="8" s="1"/>
  <c r="F221" i="8" s="1"/>
  <c r="D220" i="8"/>
  <c r="C220" i="8"/>
  <c r="E220" i="8" s="1"/>
  <c r="F220" i="8" s="1"/>
  <c r="D219" i="8"/>
  <c r="C219" i="8"/>
  <c r="E219" i="8" s="1"/>
  <c r="F219" i="8" s="1"/>
  <c r="D218" i="8"/>
  <c r="C218" i="8"/>
  <c r="E218" i="8" s="1"/>
  <c r="F218" i="8" s="1"/>
  <c r="D217" i="8"/>
  <c r="C217" i="8"/>
  <c r="E217" i="8" s="1"/>
  <c r="F217" i="8" s="1"/>
  <c r="D216" i="8"/>
  <c r="C216" i="8"/>
  <c r="E216" i="8" s="1"/>
  <c r="F216" i="8" s="1"/>
  <c r="D215" i="8"/>
  <c r="C215" i="8"/>
  <c r="E215" i="8" s="1"/>
  <c r="F215" i="8" s="1"/>
  <c r="D214" i="8"/>
  <c r="C214" i="8"/>
  <c r="E214" i="8" s="1"/>
  <c r="F214" i="8" s="1"/>
  <c r="D213" i="8"/>
  <c r="C213" i="8"/>
  <c r="E213" i="8" s="1"/>
  <c r="F213" i="8" s="1"/>
  <c r="D212" i="8"/>
  <c r="C212" i="8"/>
  <c r="E212" i="8" s="1"/>
  <c r="F212" i="8" s="1"/>
  <c r="D211" i="8"/>
  <c r="C211" i="8"/>
  <c r="E211" i="8" s="1"/>
  <c r="F211" i="8" s="1"/>
  <c r="D210" i="8"/>
  <c r="C210" i="8"/>
  <c r="E210" i="8" s="1"/>
  <c r="F210" i="8" s="1"/>
  <c r="D209" i="8"/>
  <c r="C209" i="8"/>
  <c r="E209" i="8" s="1"/>
  <c r="F209" i="8" s="1"/>
  <c r="D208" i="8"/>
  <c r="C208" i="8"/>
  <c r="E208" i="8" s="1"/>
  <c r="F208" i="8" s="1"/>
  <c r="D207" i="8"/>
  <c r="C207" i="8"/>
  <c r="E207" i="8" s="1"/>
  <c r="F207" i="8" s="1"/>
  <c r="D206" i="8"/>
  <c r="C206" i="8"/>
  <c r="E206" i="8" s="1"/>
  <c r="F206" i="8" s="1"/>
  <c r="D205" i="8"/>
  <c r="C205" i="8"/>
  <c r="E205" i="8" s="1"/>
  <c r="F205" i="8" s="1"/>
  <c r="D204" i="8"/>
  <c r="C204" i="8"/>
  <c r="E204" i="8" s="1"/>
  <c r="F204" i="8" s="1"/>
  <c r="D203" i="8"/>
  <c r="C203" i="8"/>
  <c r="E203" i="8" s="1"/>
  <c r="F203" i="8" s="1"/>
  <c r="D202" i="8"/>
  <c r="C202" i="8"/>
  <c r="E202" i="8" s="1"/>
  <c r="F202" i="8" s="1"/>
  <c r="D201" i="8"/>
  <c r="C201" i="8"/>
  <c r="E201" i="8" s="1"/>
  <c r="F201" i="8" s="1"/>
  <c r="D200" i="8"/>
  <c r="C200" i="8"/>
  <c r="E200" i="8" s="1"/>
  <c r="F200" i="8" s="1"/>
  <c r="D199" i="8"/>
  <c r="C199" i="8"/>
  <c r="E199" i="8" s="1"/>
  <c r="F199" i="8" s="1"/>
  <c r="D198" i="8"/>
  <c r="C198" i="8"/>
  <c r="E198" i="8" s="1"/>
  <c r="F198" i="8" s="1"/>
  <c r="D197" i="8"/>
  <c r="C197" i="8"/>
  <c r="E197" i="8" s="1"/>
  <c r="F197" i="8" s="1"/>
  <c r="D196" i="8"/>
  <c r="C196" i="8"/>
  <c r="E196" i="8" s="1"/>
  <c r="F196" i="8" s="1"/>
  <c r="D195" i="8"/>
  <c r="C195" i="8"/>
  <c r="E195" i="8" s="1"/>
  <c r="F195" i="8" s="1"/>
  <c r="D194" i="8"/>
  <c r="C194" i="8"/>
  <c r="E194" i="8" s="1"/>
  <c r="F194" i="8" s="1"/>
  <c r="D193" i="8"/>
  <c r="C193" i="8"/>
  <c r="E193" i="8" s="1"/>
  <c r="F193" i="8" s="1"/>
  <c r="D192" i="8"/>
  <c r="C192" i="8"/>
  <c r="E192" i="8" s="1"/>
  <c r="F192" i="8" s="1"/>
  <c r="D191" i="8"/>
  <c r="C191" i="8"/>
  <c r="E191" i="8" s="1"/>
  <c r="F191" i="8" s="1"/>
  <c r="D190" i="8"/>
  <c r="C190" i="8"/>
  <c r="E190" i="8" s="1"/>
  <c r="F190" i="8" s="1"/>
  <c r="D189" i="8"/>
  <c r="C189" i="8"/>
  <c r="E189" i="8" s="1"/>
  <c r="F189" i="8" s="1"/>
  <c r="D188" i="8"/>
  <c r="C188" i="8"/>
  <c r="E188" i="8" s="1"/>
  <c r="F188" i="8" s="1"/>
  <c r="D187" i="8"/>
  <c r="C187" i="8"/>
  <c r="E187" i="8" s="1"/>
  <c r="F187" i="8" s="1"/>
  <c r="D186" i="8"/>
  <c r="C186" i="8"/>
  <c r="E186" i="8" s="1"/>
  <c r="F186" i="8" s="1"/>
  <c r="D185" i="8"/>
  <c r="C185" i="8"/>
  <c r="E185" i="8" s="1"/>
  <c r="F185" i="8" s="1"/>
  <c r="D184" i="8"/>
  <c r="C184" i="8"/>
  <c r="E184" i="8" s="1"/>
  <c r="F184" i="8" s="1"/>
  <c r="D183" i="8"/>
  <c r="C183" i="8"/>
  <c r="E183" i="8" s="1"/>
  <c r="F183" i="8" s="1"/>
  <c r="D182" i="8"/>
  <c r="C182" i="8"/>
  <c r="E182" i="8" s="1"/>
  <c r="F182" i="8" s="1"/>
  <c r="D181" i="8"/>
  <c r="C181" i="8"/>
  <c r="E181" i="8" s="1"/>
  <c r="F181" i="8" s="1"/>
  <c r="D180" i="8"/>
  <c r="C180" i="8"/>
  <c r="E180" i="8" s="1"/>
  <c r="F180" i="8" s="1"/>
  <c r="D179" i="8"/>
  <c r="C179" i="8"/>
  <c r="E179" i="8" s="1"/>
  <c r="F179" i="8" s="1"/>
  <c r="D178" i="8"/>
  <c r="C178" i="8"/>
  <c r="E178" i="8" s="1"/>
  <c r="F178" i="8" s="1"/>
  <c r="D177" i="8"/>
  <c r="C177" i="8"/>
  <c r="E177" i="8" s="1"/>
  <c r="F177" i="8" s="1"/>
  <c r="D176" i="8"/>
  <c r="C176" i="8"/>
  <c r="E176" i="8" s="1"/>
  <c r="F176" i="8" s="1"/>
  <c r="D175" i="8"/>
  <c r="C175" i="8"/>
  <c r="E175" i="8" s="1"/>
  <c r="F175" i="8" s="1"/>
  <c r="D174" i="8"/>
  <c r="C174" i="8"/>
  <c r="E174" i="8" s="1"/>
  <c r="F174" i="8" s="1"/>
  <c r="D173" i="8"/>
  <c r="C173" i="8"/>
  <c r="E173" i="8" s="1"/>
  <c r="F173" i="8" s="1"/>
  <c r="D172" i="8"/>
  <c r="C172" i="8"/>
  <c r="E172" i="8" s="1"/>
  <c r="F172" i="8" s="1"/>
  <c r="D171" i="8"/>
  <c r="C171" i="8"/>
  <c r="E171" i="8" s="1"/>
  <c r="F171" i="8" s="1"/>
  <c r="D170" i="8"/>
  <c r="C170" i="8"/>
  <c r="E170" i="8" s="1"/>
  <c r="F170" i="8" s="1"/>
  <c r="D169" i="8"/>
  <c r="C169" i="8"/>
  <c r="E169" i="8" s="1"/>
  <c r="F169" i="8" s="1"/>
  <c r="D168" i="8"/>
  <c r="C168" i="8"/>
  <c r="E168" i="8" s="1"/>
  <c r="F168" i="8" s="1"/>
  <c r="D167" i="8"/>
  <c r="C167" i="8"/>
  <c r="E167" i="8" s="1"/>
  <c r="F167" i="8" s="1"/>
  <c r="D166" i="8"/>
  <c r="C166" i="8"/>
  <c r="E166" i="8" s="1"/>
  <c r="F166" i="8" s="1"/>
  <c r="D165" i="8"/>
  <c r="C165" i="8"/>
  <c r="E165" i="8" s="1"/>
  <c r="F165" i="8" s="1"/>
  <c r="D164" i="8"/>
  <c r="C164" i="8"/>
  <c r="E164" i="8" s="1"/>
  <c r="F164" i="8" s="1"/>
  <c r="D163" i="8"/>
  <c r="C163" i="8"/>
  <c r="E163" i="8" s="1"/>
  <c r="F163" i="8" s="1"/>
  <c r="D162" i="8"/>
  <c r="C162" i="8"/>
  <c r="E162" i="8" s="1"/>
  <c r="F162" i="8" s="1"/>
  <c r="D161" i="8"/>
  <c r="C161" i="8"/>
  <c r="E161" i="8" s="1"/>
  <c r="F161" i="8" s="1"/>
  <c r="D160" i="8"/>
  <c r="C160" i="8"/>
  <c r="E160" i="8" s="1"/>
  <c r="F160" i="8" s="1"/>
  <c r="D159" i="8"/>
  <c r="C159" i="8"/>
  <c r="E159" i="8" s="1"/>
  <c r="F159" i="8" s="1"/>
  <c r="D158" i="8"/>
  <c r="C158" i="8"/>
  <c r="E158" i="8" s="1"/>
  <c r="F158" i="8" s="1"/>
  <c r="D157" i="8"/>
  <c r="C157" i="8"/>
  <c r="E157" i="8" s="1"/>
  <c r="F157" i="8" s="1"/>
  <c r="D156" i="8"/>
  <c r="C156" i="8"/>
  <c r="E156" i="8" s="1"/>
  <c r="F156" i="8" s="1"/>
  <c r="D155" i="8"/>
  <c r="C155" i="8"/>
  <c r="E155" i="8" s="1"/>
  <c r="F155" i="8" s="1"/>
  <c r="D154" i="8"/>
  <c r="C154" i="8"/>
  <c r="E154" i="8" s="1"/>
  <c r="F154" i="8" s="1"/>
  <c r="D153" i="8"/>
  <c r="C153" i="8"/>
  <c r="E153" i="8" s="1"/>
  <c r="F153" i="8" s="1"/>
  <c r="D152" i="8"/>
  <c r="C152" i="8"/>
  <c r="E152" i="8" s="1"/>
  <c r="F152" i="8" s="1"/>
  <c r="D151" i="8"/>
  <c r="C151" i="8"/>
  <c r="E151" i="8" s="1"/>
  <c r="F151" i="8" s="1"/>
  <c r="D150" i="8"/>
  <c r="C150" i="8"/>
  <c r="E150" i="8" s="1"/>
  <c r="F150" i="8" s="1"/>
  <c r="D149" i="8"/>
  <c r="C149" i="8"/>
  <c r="E149" i="8" s="1"/>
  <c r="F149" i="8" s="1"/>
  <c r="D148" i="8"/>
  <c r="C148" i="8"/>
  <c r="E148" i="8" s="1"/>
  <c r="F148" i="8" s="1"/>
  <c r="D147" i="8"/>
  <c r="C147" i="8"/>
  <c r="E147" i="8" s="1"/>
  <c r="F147" i="8" s="1"/>
  <c r="D146" i="8"/>
  <c r="C146" i="8"/>
  <c r="E146" i="8" s="1"/>
  <c r="F146" i="8" s="1"/>
  <c r="D145" i="8"/>
  <c r="C145" i="8"/>
  <c r="E145" i="8" s="1"/>
  <c r="F145" i="8" s="1"/>
  <c r="D144" i="8"/>
  <c r="C144" i="8"/>
  <c r="E144" i="8" s="1"/>
  <c r="F144" i="8" s="1"/>
  <c r="D143" i="8"/>
  <c r="C143" i="8"/>
  <c r="E143" i="8" s="1"/>
  <c r="F143" i="8" s="1"/>
  <c r="D142" i="8"/>
  <c r="C142" i="8"/>
  <c r="E142" i="8" s="1"/>
  <c r="F142" i="8" s="1"/>
  <c r="D141" i="8"/>
  <c r="C141" i="8"/>
  <c r="E141" i="8" s="1"/>
  <c r="F141" i="8" s="1"/>
  <c r="D140" i="8"/>
  <c r="C140" i="8"/>
  <c r="E140" i="8" s="1"/>
  <c r="F140" i="8" s="1"/>
  <c r="D139" i="8"/>
  <c r="C139" i="8"/>
  <c r="E139" i="8" s="1"/>
  <c r="F139" i="8" s="1"/>
  <c r="D138" i="8"/>
  <c r="C138" i="8"/>
  <c r="E138" i="8" s="1"/>
  <c r="F138" i="8" s="1"/>
  <c r="D137" i="8"/>
  <c r="C137" i="8"/>
  <c r="E137" i="8" s="1"/>
  <c r="F137" i="8" s="1"/>
  <c r="D136" i="8"/>
  <c r="C136" i="8"/>
  <c r="E136" i="8" s="1"/>
  <c r="F136" i="8" s="1"/>
  <c r="D135" i="8"/>
  <c r="C135" i="8"/>
  <c r="E135" i="8" s="1"/>
  <c r="F135" i="8" s="1"/>
  <c r="D134" i="8"/>
  <c r="C134" i="8"/>
  <c r="E134" i="8" s="1"/>
  <c r="F134" i="8" s="1"/>
  <c r="D133" i="8"/>
  <c r="C133" i="8"/>
  <c r="E133" i="8" s="1"/>
  <c r="F133" i="8" s="1"/>
  <c r="D132" i="8"/>
  <c r="C132" i="8"/>
  <c r="E132" i="8" s="1"/>
  <c r="F132" i="8" s="1"/>
  <c r="D131" i="8"/>
  <c r="C131" i="8"/>
  <c r="E131" i="8" s="1"/>
  <c r="F131" i="8" s="1"/>
  <c r="D130" i="8"/>
  <c r="C130" i="8"/>
  <c r="E130" i="8" s="1"/>
  <c r="F130" i="8" s="1"/>
  <c r="D129" i="8"/>
  <c r="C129" i="8"/>
  <c r="E129" i="8" s="1"/>
  <c r="F129" i="8" s="1"/>
  <c r="D128" i="8"/>
  <c r="C128" i="8"/>
  <c r="E128" i="8" s="1"/>
  <c r="F128" i="8" s="1"/>
  <c r="D127" i="8"/>
  <c r="C127" i="8"/>
  <c r="E127" i="8" s="1"/>
  <c r="F127" i="8" s="1"/>
  <c r="D126" i="8"/>
  <c r="C126" i="8"/>
  <c r="E126" i="8" s="1"/>
  <c r="F126" i="8" s="1"/>
  <c r="D125" i="8"/>
  <c r="C125" i="8"/>
  <c r="E125" i="8" s="1"/>
  <c r="F125" i="8" s="1"/>
  <c r="D124" i="8"/>
  <c r="C124" i="8"/>
  <c r="E124" i="8" s="1"/>
  <c r="F124" i="8" s="1"/>
  <c r="D123" i="8"/>
  <c r="C123" i="8"/>
  <c r="E123" i="8" s="1"/>
  <c r="F123" i="8" s="1"/>
  <c r="D122" i="8"/>
  <c r="C122" i="8"/>
  <c r="E122" i="8" s="1"/>
  <c r="F122" i="8" s="1"/>
  <c r="D121" i="8"/>
  <c r="C121" i="8"/>
  <c r="E121" i="8" s="1"/>
  <c r="F121" i="8" s="1"/>
  <c r="D120" i="8"/>
  <c r="C120" i="8"/>
  <c r="E120" i="8" s="1"/>
  <c r="F120" i="8" s="1"/>
  <c r="D119" i="8"/>
  <c r="C119" i="8"/>
  <c r="E119" i="8" s="1"/>
  <c r="F119" i="8" s="1"/>
  <c r="D118" i="8"/>
  <c r="C118" i="8"/>
  <c r="E118" i="8" s="1"/>
  <c r="F118" i="8" s="1"/>
  <c r="D117" i="8"/>
  <c r="C117" i="8"/>
  <c r="E117" i="8" s="1"/>
  <c r="F117" i="8" s="1"/>
  <c r="D116" i="8"/>
  <c r="C116" i="8"/>
  <c r="E116" i="8" s="1"/>
  <c r="F116" i="8" s="1"/>
  <c r="D115" i="8"/>
  <c r="C115" i="8"/>
  <c r="E115" i="8" s="1"/>
  <c r="F115" i="8" s="1"/>
  <c r="D114" i="8"/>
  <c r="C114" i="8"/>
  <c r="E114" i="8" s="1"/>
  <c r="F114" i="8" s="1"/>
  <c r="D113" i="8"/>
  <c r="C113" i="8"/>
  <c r="E113" i="8" s="1"/>
  <c r="F113" i="8" s="1"/>
  <c r="D112" i="8"/>
  <c r="C112" i="8"/>
  <c r="E112" i="8" s="1"/>
  <c r="F112" i="8" s="1"/>
  <c r="D111" i="8"/>
  <c r="C111" i="8"/>
  <c r="E111" i="8" s="1"/>
  <c r="F111" i="8" s="1"/>
  <c r="D110" i="8"/>
  <c r="C110" i="8"/>
  <c r="E110" i="8" s="1"/>
  <c r="F110" i="8" s="1"/>
  <c r="D109" i="8"/>
  <c r="C109" i="8"/>
  <c r="E109" i="8" s="1"/>
  <c r="F109" i="8" s="1"/>
  <c r="D108" i="8"/>
  <c r="C108" i="8"/>
  <c r="E108" i="8" s="1"/>
  <c r="F108" i="8" s="1"/>
  <c r="D107" i="8"/>
  <c r="C107" i="8"/>
  <c r="E107" i="8" s="1"/>
  <c r="F107" i="8" s="1"/>
  <c r="D106" i="8"/>
  <c r="C106" i="8"/>
  <c r="E106" i="8" s="1"/>
  <c r="F106" i="8" s="1"/>
  <c r="D105" i="8"/>
  <c r="C105" i="8"/>
  <c r="E105" i="8" s="1"/>
  <c r="F105" i="8" s="1"/>
  <c r="D104" i="8"/>
  <c r="C104" i="8"/>
  <c r="E104" i="8" s="1"/>
  <c r="F104" i="8" s="1"/>
  <c r="D103" i="8"/>
  <c r="C103" i="8"/>
  <c r="E103" i="8" s="1"/>
  <c r="F103" i="8" s="1"/>
  <c r="D102" i="8"/>
  <c r="C102" i="8"/>
  <c r="E102" i="8" s="1"/>
  <c r="F102" i="8" s="1"/>
  <c r="D101" i="8"/>
  <c r="C101" i="8"/>
  <c r="E101" i="8" s="1"/>
  <c r="F101" i="8" s="1"/>
  <c r="D100" i="8"/>
  <c r="C100" i="8"/>
  <c r="E100" i="8" s="1"/>
  <c r="F100" i="8" s="1"/>
  <c r="D99" i="8"/>
  <c r="C99" i="8"/>
  <c r="E99" i="8" s="1"/>
  <c r="F99" i="8" s="1"/>
  <c r="D98" i="8"/>
  <c r="C98" i="8"/>
  <c r="E98" i="8" s="1"/>
  <c r="F98" i="8" s="1"/>
  <c r="D97" i="8"/>
  <c r="C97" i="8"/>
  <c r="E97" i="8" s="1"/>
  <c r="F97" i="8" s="1"/>
  <c r="D96" i="8"/>
  <c r="C96" i="8"/>
  <c r="E96" i="8" s="1"/>
  <c r="F96" i="8" s="1"/>
  <c r="D95" i="8"/>
  <c r="C95" i="8"/>
  <c r="E95" i="8" s="1"/>
  <c r="F95" i="8" s="1"/>
  <c r="D94" i="8"/>
  <c r="C94" i="8"/>
  <c r="E94" i="8" s="1"/>
  <c r="F94" i="8" s="1"/>
  <c r="D93" i="8"/>
  <c r="C93" i="8"/>
  <c r="E93" i="8" s="1"/>
  <c r="F93" i="8" s="1"/>
  <c r="D92" i="8"/>
  <c r="C92" i="8"/>
  <c r="E92" i="8" s="1"/>
  <c r="F92" i="8" s="1"/>
  <c r="D91" i="8"/>
  <c r="C91" i="8"/>
  <c r="E91" i="8" s="1"/>
  <c r="F91" i="8" s="1"/>
  <c r="D90" i="8"/>
  <c r="C90" i="8"/>
  <c r="E90" i="8" s="1"/>
  <c r="F90" i="8" s="1"/>
  <c r="D89" i="8"/>
  <c r="C89" i="8"/>
  <c r="E89" i="8" s="1"/>
  <c r="F89" i="8" s="1"/>
  <c r="D88" i="8"/>
  <c r="C88" i="8"/>
  <c r="E88" i="8" s="1"/>
  <c r="F88" i="8" s="1"/>
  <c r="D87" i="8"/>
  <c r="C87" i="8"/>
  <c r="E87" i="8" s="1"/>
  <c r="F87" i="8" s="1"/>
  <c r="D86" i="8"/>
  <c r="C86" i="8"/>
  <c r="E86" i="8" s="1"/>
  <c r="F86" i="8" s="1"/>
  <c r="D85" i="8"/>
  <c r="C85" i="8"/>
  <c r="E85" i="8" s="1"/>
  <c r="F85" i="8" s="1"/>
  <c r="D84" i="8"/>
  <c r="C84" i="8"/>
  <c r="E84" i="8" s="1"/>
  <c r="F84" i="8" s="1"/>
  <c r="D83" i="8"/>
  <c r="C83" i="8"/>
  <c r="E83" i="8" s="1"/>
  <c r="F83" i="8" s="1"/>
  <c r="D82" i="8"/>
  <c r="C82" i="8"/>
  <c r="E82" i="8" s="1"/>
  <c r="F82" i="8" s="1"/>
  <c r="D81" i="8"/>
  <c r="C81" i="8"/>
  <c r="E81" i="8" s="1"/>
  <c r="F81" i="8" s="1"/>
  <c r="D80" i="8"/>
  <c r="C80" i="8"/>
  <c r="E80" i="8" s="1"/>
  <c r="F80" i="8" s="1"/>
  <c r="D79" i="8"/>
  <c r="C79" i="8"/>
  <c r="E79" i="8" s="1"/>
  <c r="F79" i="8" s="1"/>
  <c r="D78" i="8"/>
  <c r="C78" i="8"/>
  <c r="E78" i="8" s="1"/>
  <c r="F78" i="8" s="1"/>
  <c r="D77" i="8"/>
  <c r="C77" i="8"/>
  <c r="E77" i="8" s="1"/>
  <c r="F77" i="8" s="1"/>
  <c r="D76" i="8"/>
  <c r="C76" i="8"/>
  <c r="E76" i="8" s="1"/>
  <c r="F76" i="8" s="1"/>
  <c r="D75" i="8"/>
  <c r="C75" i="8"/>
  <c r="E75" i="8" s="1"/>
  <c r="F75" i="8" s="1"/>
  <c r="D74" i="8"/>
  <c r="C74" i="8"/>
  <c r="E74" i="8" s="1"/>
  <c r="F74" i="8" s="1"/>
  <c r="D73" i="8"/>
  <c r="C73" i="8"/>
  <c r="E73" i="8" s="1"/>
  <c r="F73" i="8" s="1"/>
  <c r="D72" i="8"/>
  <c r="C72" i="8"/>
  <c r="E72" i="8" s="1"/>
  <c r="F72" i="8" s="1"/>
  <c r="D71" i="8"/>
  <c r="C71" i="8"/>
  <c r="E71" i="8" s="1"/>
  <c r="F71" i="8" s="1"/>
  <c r="D70" i="8"/>
  <c r="C70" i="8"/>
  <c r="E70" i="8" s="1"/>
  <c r="F70" i="8" s="1"/>
  <c r="D69" i="8"/>
  <c r="C69" i="8"/>
  <c r="E69" i="8" s="1"/>
  <c r="F69" i="8" s="1"/>
  <c r="D68" i="8"/>
  <c r="C68" i="8"/>
  <c r="E68" i="8" s="1"/>
  <c r="F68" i="8" s="1"/>
  <c r="D67" i="8"/>
  <c r="C67" i="8"/>
  <c r="E67" i="8" s="1"/>
  <c r="F67" i="8" s="1"/>
  <c r="D66" i="8"/>
  <c r="C66" i="8"/>
  <c r="E66" i="8" s="1"/>
  <c r="F66" i="8" s="1"/>
  <c r="D65" i="8"/>
  <c r="C65" i="8"/>
  <c r="E65" i="8" s="1"/>
  <c r="F65" i="8" s="1"/>
  <c r="D64" i="8"/>
  <c r="C64" i="8"/>
  <c r="E64" i="8" s="1"/>
  <c r="F64" i="8" s="1"/>
  <c r="D63" i="8"/>
  <c r="C63" i="8"/>
  <c r="E63" i="8" s="1"/>
  <c r="F63" i="8" s="1"/>
  <c r="D62" i="8"/>
  <c r="C62" i="8"/>
  <c r="E62" i="8" s="1"/>
  <c r="F62" i="8" s="1"/>
  <c r="D61" i="8"/>
  <c r="C61" i="8"/>
  <c r="E61" i="8" s="1"/>
  <c r="F61" i="8" s="1"/>
  <c r="D60" i="8"/>
  <c r="C60" i="8"/>
  <c r="E60" i="8" s="1"/>
  <c r="F60" i="8" s="1"/>
  <c r="D59" i="8"/>
  <c r="C59" i="8"/>
  <c r="E59" i="8" s="1"/>
  <c r="F59" i="8" s="1"/>
  <c r="D58" i="8"/>
  <c r="C58" i="8"/>
  <c r="E58" i="8" s="1"/>
  <c r="F58" i="8" s="1"/>
  <c r="D57" i="8"/>
  <c r="C57" i="8"/>
  <c r="E57" i="8" s="1"/>
  <c r="F57" i="8" s="1"/>
  <c r="D56" i="8"/>
  <c r="C56" i="8"/>
  <c r="E56" i="8" s="1"/>
  <c r="F56" i="8" s="1"/>
  <c r="D55" i="8"/>
  <c r="C55" i="8"/>
  <c r="E55" i="8" s="1"/>
  <c r="F55" i="8" s="1"/>
  <c r="D54" i="8"/>
  <c r="C54" i="8"/>
  <c r="E54" i="8" s="1"/>
  <c r="F54" i="8" s="1"/>
  <c r="D53" i="8"/>
  <c r="C53" i="8"/>
  <c r="E53" i="8" s="1"/>
  <c r="F53" i="8" s="1"/>
  <c r="D52" i="8"/>
  <c r="C52" i="8"/>
  <c r="E52" i="8" s="1"/>
  <c r="F52" i="8" s="1"/>
  <c r="D51" i="8"/>
  <c r="C51" i="8"/>
  <c r="E51" i="8" s="1"/>
  <c r="F51" i="8" s="1"/>
  <c r="D50" i="8"/>
  <c r="C50" i="8"/>
  <c r="E50" i="8" s="1"/>
  <c r="F50" i="8" s="1"/>
  <c r="D49" i="8"/>
  <c r="C49" i="8"/>
  <c r="E49" i="8" s="1"/>
  <c r="F49" i="8" s="1"/>
  <c r="D48" i="8"/>
  <c r="C48" i="8"/>
  <c r="E48" i="8" s="1"/>
  <c r="F48" i="8" s="1"/>
  <c r="D47" i="8"/>
  <c r="C47" i="8"/>
  <c r="E47" i="8" s="1"/>
  <c r="F47" i="8" s="1"/>
  <c r="D46" i="8"/>
  <c r="C46" i="8"/>
  <c r="E46" i="8" s="1"/>
  <c r="F46" i="8" s="1"/>
  <c r="D45" i="8"/>
  <c r="C45" i="8"/>
  <c r="E45" i="8" s="1"/>
  <c r="F45" i="8" s="1"/>
  <c r="D44" i="8"/>
  <c r="C44" i="8"/>
  <c r="E44" i="8" s="1"/>
  <c r="F44" i="8" s="1"/>
  <c r="D43" i="8"/>
  <c r="C43" i="8"/>
  <c r="E43" i="8" s="1"/>
  <c r="F43" i="8" s="1"/>
  <c r="D42" i="8"/>
  <c r="C42" i="8"/>
  <c r="E42" i="8" s="1"/>
  <c r="F42" i="8" s="1"/>
  <c r="D41" i="8"/>
  <c r="C41" i="8"/>
  <c r="E41" i="8" s="1"/>
  <c r="F41" i="8" s="1"/>
  <c r="D40" i="8"/>
  <c r="C40" i="8"/>
  <c r="E40" i="8" s="1"/>
  <c r="F40" i="8" s="1"/>
  <c r="D39" i="8"/>
  <c r="C39" i="8"/>
  <c r="E39" i="8" s="1"/>
  <c r="F39" i="8" s="1"/>
  <c r="D38" i="8"/>
  <c r="C38" i="8"/>
  <c r="E38" i="8" s="1"/>
  <c r="F38" i="8" s="1"/>
  <c r="D37" i="8"/>
  <c r="C37" i="8"/>
  <c r="E37" i="8" s="1"/>
  <c r="F37" i="8" s="1"/>
  <c r="D36" i="8"/>
  <c r="C36" i="8"/>
  <c r="E36" i="8" s="1"/>
  <c r="F36" i="8" s="1"/>
  <c r="D35" i="8"/>
  <c r="C35" i="8"/>
  <c r="E35" i="8" s="1"/>
  <c r="F35" i="8" s="1"/>
  <c r="D34" i="8"/>
  <c r="C34" i="8"/>
  <c r="E34" i="8" s="1"/>
  <c r="F34" i="8" s="1"/>
  <c r="D33" i="8"/>
  <c r="C33" i="8"/>
  <c r="E33" i="8" s="1"/>
  <c r="C32" i="8"/>
  <c r="E32" i="8" s="1"/>
  <c r="E6" i="8"/>
  <c r="H5" i="8" l="1"/>
  <c r="F5" i="8"/>
  <c r="H6" i="8"/>
  <c r="F6" i="8"/>
  <c r="H4" i="8"/>
  <c r="F4" i="8"/>
  <c r="H32" i="8"/>
  <c r="F32" i="8"/>
  <c r="H33" i="8"/>
  <c r="F33" i="8"/>
  <c r="B3" i="9"/>
  <c r="H2" i="8"/>
  <c r="B2" i="9"/>
  <c r="H3" i="8"/>
  <c r="K2" i="9"/>
  <c r="L2" i="9" s="1"/>
  <c r="B17" i="9"/>
  <c r="H17" i="8"/>
  <c r="B31" i="9"/>
  <c r="H31" i="8"/>
  <c r="E22" i="8"/>
  <c r="F22" i="8" s="1"/>
  <c r="E29" i="8"/>
  <c r="F29" i="8" s="1"/>
  <c r="E19" i="8"/>
  <c r="F19" i="8" s="1"/>
  <c r="E25" i="8"/>
  <c r="F25" i="8" s="1"/>
  <c r="C30" i="8"/>
  <c r="E30" i="8" s="1"/>
  <c r="F30" i="8" s="1"/>
  <c r="E27" i="8"/>
  <c r="F27" i="8" s="1"/>
  <c r="E26" i="8"/>
  <c r="F26" i="8" s="1"/>
  <c r="E21" i="8"/>
  <c r="F21" i="8" s="1"/>
  <c r="E16" i="8"/>
  <c r="F16" i="8" s="1"/>
  <c r="E23" i="8"/>
  <c r="F23" i="8" s="1"/>
  <c r="E20" i="8"/>
  <c r="F20" i="8" s="1"/>
  <c r="B24" i="9"/>
  <c r="H24" i="8"/>
  <c r="E18" i="8"/>
  <c r="F18" i="8" s="1"/>
  <c r="E15" i="8"/>
  <c r="F15" i="8" s="1"/>
  <c r="E28" i="8"/>
  <c r="F28" i="8" s="1"/>
  <c r="J13" i="9"/>
  <c r="J7" i="9"/>
  <c r="B4" i="9"/>
  <c r="B5" i="9"/>
  <c r="B6" i="9"/>
  <c r="E14" i="8"/>
  <c r="E13" i="8"/>
  <c r="E12" i="8"/>
  <c r="E11" i="8"/>
  <c r="E10" i="8"/>
  <c r="E9" i="8"/>
  <c r="E8" i="8"/>
  <c r="E7" i="8"/>
  <c r="F7" i="8" s="1"/>
  <c r="B32" i="9"/>
  <c r="H8" i="8" l="1"/>
  <c r="F8" i="8"/>
  <c r="H9" i="8"/>
  <c r="F9" i="8"/>
  <c r="H10" i="8"/>
  <c r="F10" i="8"/>
  <c r="H11" i="8"/>
  <c r="F11" i="8"/>
  <c r="H12" i="8"/>
  <c r="F12" i="8"/>
  <c r="H13" i="8"/>
  <c r="F13" i="8"/>
  <c r="H14" i="8"/>
  <c r="F14" i="8"/>
  <c r="B21" i="9"/>
  <c r="H21" i="8"/>
  <c r="B30" i="9"/>
  <c r="H30" i="8"/>
  <c r="B27" i="9"/>
  <c r="H27" i="8"/>
  <c r="B18" i="9"/>
  <c r="H18" i="8"/>
  <c r="B25" i="9"/>
  <c r="H25" i="8"/>
  <c r="B15" i="9"/>
  <c r="H15" i="8"/>
  <c r="B29" i="9"/>
  <c r="H29" i="8"/>
  <c r="B22" i="9"/>
  <c r="H22" i="8"/>
  <c r="B20" i="9"/>
  <c r="H20" i="8"/>
  <c r="B26" i="9"/>
  <c r="H26" i="8"/>
  <c r="B28" i="9"/>
  <c r="H28" i="8"/>
  <c r="B19" i="9"/>
  <c r="H19" i="8"/>
  <c r="B23" i="9"/>
  <c r="H23" i="8"/>
  <c r="B16" i="9"/>
  <c r="H16" i="8"/>
  <c r="B7" i="9"/>
  <c r="H7" i="8"/>
  <c r="B12" i="9"/>
  <c r="B13" i="9"/>
  <c r="B11" i="9"/>
  <c r="B14" i="9"/>
  <c r="B8" i="9"/>
  <c r="B9" i="9"/>
  <c r="B10" i="9"/>
</calcChain>
</file>

<file path=xl/sharedStrings.xml><?xml version="1.0" encoding="utf-8"?>
<sst xmlns="http://schemas.openxmlformats.org/spreadsheetml/2006/main" count="182" uniqueCount="161">
  <si>
    <t>Assessment Objective</t>
  </si>
  <si>
    <t>In-Scope</t>
  </si>
  <si>
    <t>Out-of-Scope</t>
  </si>
  <si>
    <t>Assumptions</t>
  </si>
  <si>
    <t>Trust Boundaries</t>
  </si>
  <si>
    <t>Business Asset ID</t>
  </si>
  <si>
    <t>Asset Name</t>
  </si>
  <si>
    <t>Description</t>
  </si>
  <si>
    <t>Supporting Asset ID</t>
  </si>
  <si>
    <t>Type</t>
  </si>
  <si>
    <t>Linked Business Asset</t>
  </si>
  <si>
    <t>Owner</t>
  </si>
  <si>
    <t>Threat ID</t>
  </si>
  <si>
    <t>Affected Business Asset</t>
  </si>
  <si>
    <t>Vulnerability ID</t>
  </si>
  <si>
    <t>Supporting Asset</t>
  </si>
  <si>
    <t>Financial (1-5)</t>
  </si>
  <si>
    <t>Operational (1-5)</t>
  </si>
  <si>
    <t>Legal (1-5)</t>
  </si>
  <si>
    <t>Reputational (1-5)</t>
  </si>
  <si>
    <t>Likelihood</t>
  </si>
  <si>
    <t>Impact</t>
  </si>
  <si>
    <t>Risk Level</t>
  </si>
  <si>
    <t>Risk Owner</t>
  </si>
  <si>
    <t>Exploitability index</t>
  </si>
  <si>
    <t>cvss range</t>
  </si>
  <si>
    <t>Exploitability Index</t>
  </si>
  <si>
    <t>explanation</t>
  </si>
  <si>
    <t>0.1-3.9</t>
  </si>
  <si>
    <t>4-5.9</t>
  </si>
  <si>
    <t>6-6.9</t>
  </si>
  <si>
    <t>low</t>
  </si>
  <si>
    <t>medium-low</t>
  </si>
  <si>
    <t>high-medium</t>
  </si>
  <si>
    <t>high</t>
  </si>
  <si>
    <t>critical</t>
  </si>
  <si>
    <t>7-8.9</t>
  </si>
  <si>
    <t>9.0-10</t>
  </si>
  <si>
    <t>CVSS severity levels are used as the primary indicator of vulnerability exploitability in accordance with FIRST CVSS specifications.</t>
  </si>
  <si>
    <t>Threat Category</t>
  </si>
  <si>
    <t>Risk ID</t>
  </si>
  <si>
    <t>Frequency</t>
  </si>
  <si>
    <t>Type of Risk Source</t>
  </si>
  <si>
    <t>ERP System</t>
  </si>
  <si>
    <t>Payment System</t>
  </si>
  <si>
    <t>Asset Value</t>
  </si>
  <si>
    <t>R-01</t>
  </si>
  <si>
    <t>Residual Likelihood</t>
  </si>
  <si>
    <t>Threat Activity / Frequency</t>
  </si>
  <si>
    <t>No relevant controls</t>
  </si>
  <si>
    <t>Control Adequacy Scale</t>
  </si>
  <si>
    <t>Controls exist but inadequate</t>
  </si>
  <si>
    <t>Partially adequate</t>
  </si>
  <si>
    <t>Adequate and effective</t>
  </si>
  <si>
    <t>Fully adequate and resilient</t>
  </si>
  <si>
    <t xml:space="preserve">Control Adequacy </t>
  </si>
  <si>
    <t>Term</t>
  </si>
  <si>
    <t xml:space="preserve"> Likelihood</t>
  </si>
  <si>
    <t>Threat Activity / Frequency Scale</t>
  </si>
  <si>
    <t>Score</t>
  </si>
  <si>
    <t>Rare</t>
  </si>
  <si>
    <t>Unlikely</t>
  </si>
  <si>
    <t>Possible</t>
  </si>
  <si>
    <t>Likely</t>
  </si>
  <si>
    <t>Frequent</t>
  </si>
  <si>
    <t>Occurs about once every 5 years</t>
  </si>
  <si>
    <t>Occurs once every 3–5 years</t>
  </si>
  <si>
    <t>Occurs about once per year</t>
  </si>
  <si>
    <t>Occurs several times per year</t>
  </si>
  <si>
    <t>Occurs several times per month/week/almost daily</t>
  </si>
  <si>
    <t>Confidentiality</t>
  </si>
  <si>
    <t>Integrity</t>
  </si>
  <si>
    <t>Availability</t>
  </si>
  <si>
    <t>Risk Assessment Spreadsheet</t>
  </si>
  <si>
    <t>Department/Unit Name:</t>
  </si>
  <si>
    <t>Completed By:</t>
  </si>
  <si>
    <t>Date Completed:</t>
  </si>
  <si>
    <t>Date of Next Risk Assessment:</t>
  </si>
  <si>
    <t>Project Name:</t>
  </si>
  <si>
    <t>Risk Decision</t>
  </si>
  <si>
    <t xml:space="preserve">Risk Scenario </t>
  </si>
  <si>
    <t>Threat Source</t>
  </si>
  <si>
    <t>Threat Event</t>
  </si>
  <si>
    <t>Vulnerability</t>
  </si>
  <si>
    <t>Residual Vulnerability score</t>
  </si>
  <si>
    <t>Recommended Controls</t>
  </si>
  <si>
    <t>Risk</t>
  </si>
  <si>
    <t>Risk Treatment</t>
  </si>
  <si>
    <t>Preventive Controls (only)</t>
  </si>
  <si>
    <t>Controls(Detective,Corrective)</t>
  </si>
  <si>
    <t>Control Effectiveness</t>
  </si>
  <si>
    <t>Control Type for Impact</t>
  </si>
  <si>
    <t>Control Type for Likelihood</t>
  </si>
  <si>
    <t>Effectiveness on  Likelihood</t>
  </si>
  <si>
    <t xml:space="preserve"> Effectiveness on Impact</t>
  </si>
  <si>
    <t>Residual Impact</t>
  </si>
  <si>
    <t>Residual Risk Score</t>
  </si>
  <si>
    <t>Residual Risk Level</t>
  </si>
  <si>
    <t>Control Adequacy score</t>
  </si>
  <si>
    <t>Risk Appetite</t>
  </si>
  <si>
    <t>Risk Criteria</t>
  </si>
  <si>
    <t xml:space="preserve">Operational Risk Scenario </t>
  </si>
  <si>
    <r>
      <rPr>
        <b/>
        <sz val="11"/>
        <color theme="1"/>
        <rFont val="Arial"/>
        <family val="2"/>
        <scheme val="minor"/>
      </rPr>
      <t>Methodological Scope</t>
    </r>
    <r>
      <rPr>
        <sz val="11"/>
        <color theme="1"/>
        <rFont val="Arial"/>
        <family val="2"/>
        <scheme val="minor"/>
      </rPr>
      <t xml:space="preserve">
The tool implements a qualitative–semi quantitative risk assessment approach aligned conceptually with ISO/IEC 27005 and NIST SP 800 30, using structured decomposition and scoring techniques.
The methodologies applied are:
1. Asset based risk assessment
2. Scenario based risk identification
3. Threat–vulnerability coupling
4. Semi-quantitative likelihood estimation
5. Semi-quantitative impact estimation 
6. Risk scoring via ordinal multiplication
7. Relative risk ranking and prioritization
Each methodology is detailed below exactly as used by the tool.</t>
    </r>
  </si>
  <si>
    <t xml:space="preserve">1. Asset Based Assessment Approach
Method Used
Asset Based Risk Assessment
How It Is Implemented
The tool distinguishes between:
• Business Assets (what has value to the organization)
• Supporting Assets (what enables or supports business assets)
Risk is assessed only in relation to business assets, while supporting assets are used to:
• Explain exposure paths
• Ground scenarios in technical reality
Methodological Rationale
This reflects the ISO 27005 principle that: risk exists only where business value exists
The tool therefore avoids treating infrastructure components as risk subjects by themselves.
</t>
  </si>
  <si>
    <r>
      <rPr>
        <b/>
        <sz val="11"/>
        <color theme="1"/>
        <rFont val="Arial"/>
        <family val="2"/>
        <scheme val="minor"/>
      </rPr>
      <t xml:space="preserve">Purpose </t>
    </r>
    <r>
      <rPr>
        <sz val="11"/>
        <color theme="1"/>
        <rFont val="Arial"/>
        <family val="2"/>
        <scheme val="minor"/>
      </rPr>
      <t xml:space="preserve">
This document formally describes The Risk assessment Criteria used within the risk assessment tool to identify, structure, analyze, and quantify information security risks.
The intent is to codify the methodologies already embedded in the tool’s structure, worksheets, and calculations, so the assessment process becomes auditable, explainable, and internally consistent.</t>
    </r>
  </si>
  <si>
    <t xml:space="preserve">2. Scenario Based Risk Identification
Method Used
Risk Scenario Decomposition
How It Is Implemented
Each risk is expressed as a scenario, implicitly following the structure:
A threat exploits a vulnerability affecting a supporting asset, resulting in impact on a business asset.
Scenarios are uniquely identified and assessed individually.
Methodological Rationale
Scenario based assessment:
• Prevents abstract or generic risks
• Forces traceability from cause to consequence
• Enables differentiated likelihood and impact scoring
This aligns with ISO 27005 and NIST SP 800 30 scenario modeling practices.
</t>
  </si>
  <si>
    <t>Color</t>
  </si>
  <si>
    <t>High</t>
  </si>
  <si>
    <t>Medium</t>
  </si>
  <si>
    <t>Yellow</t>
  </si>
  <si>
    <t>Low</t>
  </si>
  <si>
    <t>Green</t>
  </si>
  <si>
    <t>6-10</t>
  </si>
  <si>
    <t>1-5</t>
  </si>
  <si>
    <t>Risk Score (Inherent)</t>
  </si>
  <si>
    <t>Mitigate</t>
  </si>
  <si>
    <t>Acceptable</t>
  </si>
  <si>
    <t>Tolerable with Monitoring</t>
  </si>
  <si>
    <t>These values and estimations may be adjusted in accordance with the organization’s established Risk Criteria</t>
  </si>
  <si>
    <t>Score 5*5</t>
  </si>
  <si>
    <t xml:space="preserve"> Risk Score (Inherent)</t>
  </si>
  <si>
    <t xml:space="preserve"> Not Acceptable</t>
  </si>
  <si>
    <t>Threat event</t>
  </si>
  <si>
    <t>D</t>
  </si>
  <si>
    <t>Vul-1</t>
  </si>
  <si>
    <t>Citizen DB</t>
  </si>
  <si>
    <t>Password Policy</t>
  </si>
  <si>
    <t>Residual Vulnerability Score</t>
  </si>
  <si>
    <t>Th-01</t>
  </si>
  <si>
    <t>Unauthorized access by an attacker</t>
  </si>
  <si>
    <t>human actions</t>
  </si>
  <si>
    <t xml:space="preserve">Vulnerability/Weakness </t>
  </si>
  <si>
    <t>External</t>
  </si>
  <si>
    <t>Weak Password Policy</t>
  </si>
  <si>
    <t>CVSS Score (0-10)</t>
  </si>
  <si>
    <t xml:space="preserve">5. Impact Assessment Criteria
Method Used: Multi-Dimensional Semi-Quantitative Impact Assessment
How It Is Implemented?
Impact is assessed  across multiple dimensions, including Confidentiality, Integrity, Availability, Financial, Legal, and Operational impacts.
For each scenario, the worst credible impact on the associated business asset is evaluated (considering the existing controls), and the results are aggregated into a single composite impact score for comparison and prioritization, the higher dimention score will be chosen (what we fear the most).
</t>
  </si>
  <si>
    <t xml:space="preserve">6. Risk Scoring Methodology
Method Used
Ordinal Risk Matrix Calculation 5*5
How It Is Implemented
Risk level is calculated as:
Risk Score = Likelihood × Impact
Both inputs are ordinal values mapped to numeric ranges solely for ranking purposes as the following:
</t>
  </si>
  <si>
    <t>16-20</t>
  </si>
  <si>
    <t>21-25</t>
  </si>
  <si>
    <t>11-15</t>
  </si>
  <si>
    <t>Likelihood Mapping</t>
  </si>
  <si>
    <t xml:space="preserve">none </t>
  </si>
  <si>
    <t>Citizen personal data leaks due to weak authentication controls</t>
  </si>
  <si>
    <t>-</t>
  </si>
  <si>
    <t xml:space="preserve">4. Likelihood Estimation Criteria
Method Used
semi- quantitative Ordinal Likelihood Scoring
How It Is Implemented
Likelihood is estimated per scenario using an ordinal scale (e.g., Low → High), internally represented numerically for calculation purposes.
The likelihood score implicitly reflects:
• Threat presence
• Exposure of the supporting asset
• Ease of exploitation
Likelihood Score= Vulnerability × Threat
Considering applied controls effect on vulnerability exploitation by the threat.
</t>
  </si>
  <si>
    <t>Use to Identify, Assess and Take Action to Treat Risks</t>
  </si>
  <si>
    <t>Developed by:Selman Suliman</t>
  </si>
  <si>
    <t>Apply PMA
Apply Strong Policy</t>
  </si>
  <si>
    <t>Preventive</t>
  </si>
  <si>
    <t>Critical</t>
  </si>
  <si>
    <t>16-25</t>
  </si>
  <si>
    <t>sulimanselman31@gmail.com</t>
  </si>
  <si>
    <t>A-01</t>
  </si>
  <si>
    <t>A-02</t>
  </si>
  <si>
    <t>medium</t>
  </si>
  <si>
    <t>Orange</t>
  </si>
  <si>
    <t xml:space="preserve"> Red</t>
  </si>
  <si>
    <t xml:space="preserve">3. Threat–Vulnerability Coupling
Method Used
Conditional Risk Existence Model
How It Is Implemented
The tool assumes that:
• Threats are contextual drivers
• Vulnerabilities are enabling conditions
• Risk materializes only when both are present within a scenario
Threats and vulnerabilities are maintained as structured inputs and referenced by scenarios
Methodological Rationale
This avoids:
• Treating vulnerabilities as risks
• Treating threats as risks
Instead, risk is evaluated at the intersection, which is consistent with ISO 27005 risk formulation
</t>
  </si>
  <si>
    <t>IT Manager</t>
  </si>
  <si>
    <r>
      <rPr>
        <sz val="14"/>
        <color rgb="FFCC0000"/>
        <rFont val="Arial"/>
        <family val="2"/>
        <scheme val="minor"/>
      </rPr>
      <t>Note</t>
    </r>
    <r>
      <rPr>
        <sz val="14"/>
        <color theme="1"/>
        <rFont val="Arial"/>
        <family val="2"/>
        <scheme val="minor"/>
      </rPr>
      <t xml:space="preserve"> 
</t>
    </r>
    <r>
      <rPr>
        <sz val="14"/>
        <color rgb="FF0070C0"/>
        <rFont val="Arial"/>
        <family val="2"/>
        <scheme val="minor"/>
      </rPr>
      <t>You can edit this tool to suite your Risk Criteria as Assessment Standards and Methodology.
This tool comes with R-01 Risk assessment process  as an example to clarify how to use the tool.
The locked cells are always an output for the input cells, so don't mess with.</t>
    </r>
  </si>
  <si>
    <t xml:space="preserve">Max Level </t>
  </si>
</sst>
</file>

<file path=xl/styles.xml><?xml version="1.0" encoding="utf-8"?>
<styleSheet xmlns="http://schemas.openxmlformats.org/spreadsheetml/2006/main" xmlns:mc="http://schemas.openxmlformats.org/markup-compatibility/2006" xmlns:x14ac="http://schemas.microsoft.com/office/spreadsheetml/2009/9/ac" mc:Ignorable="x14ac">
  <fonts count="23" x14ac:knownFonts="1">
    <font>
      <sz val="11"/>
      <color theme="1"/>
      <name val="Arial"/>
      <family val="2"/>
      <scheme val="minor"/>
    </font>
    <font>
      <sz val="11"/>
      <color theme="1"/>
      <name val="Arial"/>
      <family val="2"/>
      <charset val="178"/>
      <scheme val="minor"/>
    </font>
    <font>
      <sz val="11"/>
      <color theme="1"/>
      <name val="Arial"/>
      <family val="2"/>
      <charset val="178"/>
      <scheme val="minor"/>
    </font>
    <font>
      <sz val="11"/>
      <color theme="1"/>
      <name val="Arial"/>
      <family val="2"/>
      <charset val="178"/>
      <scheme val="minor"/>
    </font>
    <font>
      <sz val="11"/>
      <color theme="1"/>
      <name val="Arial"/>
      <family val="2"/>
      <charset val="178"/>
      <scheme val="minor"/>
    </font>
    <font>
      <sz val="11"/>
      <color theme="1"/>
      <name val="Arial"/>
      <family val="2"/>
      <charset val="178"/>
      <scheme val="minor"/>
    </font>
    <font>
      <sz val="11"/>
      <color theme="1"/>
      <name val="Arial"/>
      <family val="2"/>
      <charset val="178"/>
      <scheme val="minor"/>
    </font>
    <font>
      <sz val="11"/>
      <color rgb="FF006100"/>
      <name val="Arial"/>
      <family val="2"/>
      <charset val="178"/>
      <scheme val="minor"/>
    </font>
    <font>
      <sz val="11"/>
      <color rgb="FF9C0006"/>
      <name val="Arial"/>
      <family val="2"/>
      <charset val="178"/>
      <scheme val="minor"/>
    </font>
    <font>
      <sz val="12"/>
      <color theme="1"/>
      <name val="Arial"/>
      <family val="2"/>
      <scheme val="minor"/>
    </font>
    <font>
      <b/>
      <sz val="14"/>
      <color theme="1"/>
      <name val="Arial"/>
      <family val="2"/>
      <scheme val="minor"/>
    </font>
    <font>
      <b/>
      <sz val="16"/>
      <color theme="1"/>
      <name val="Arial"/>
      <family val="2"/>
      <scheme val="minor"/>
    </font>
    <font>
      <b/>
      <sz val="11"/>
      <color theme="1"/>
      <name val="Arial"/>
      <family val="2"/>
      <scheme val="minor"/>
    </font>
    <font>
      <sz val="12"/>
      <color theme="1"/>
      <name val="Times New Roman"/>
      <family val="1"/>
    </font>
    <font>
      <b/>
      <sz val="16"/>
      <color theme="8" tint="-0.249977111117893"/>
      <name val="Arial"/>
      <family val="2"/>
      <scheme val="minor"/>
    </font>
    <font>
      <sz val="11"/>
      <color theme="8" tint="-0.249977111117893"/>
      <name val="Arial"/>
      <family val="2"/>
      <scheme val="minor"/>
    </font>
    <font>
      <sz val="11"/>
      <color rgb="FFFF0000"/>
      <name val="Arial"/>
      <family val="2"/>
      <scheme val="minor"/>
    </font>
    <font>
      <sz val="11"/>
      <color theme="1"/>
      <name val="Arial"/>
      <family val="2"/>
      <scheme val="minor"/>
    </font>
    <font>
      <sz val="11"/>
      <color rgb="FF9C6500"/>
      <name val="Arial"/>
      <family val="2"/>
      <charset val="178"/>
      <scheme val="minor"/>
    </font>
    <font>
      <sz val="11"/>
      <color theme="0"/>
      <name val="Arial"/>
      <family val="2"/>
      <charset val="178"/>
      <scheme val="minor"/>
    </font>
    <font>
      <sz val="14"/>
      <color rgb="FFCC0000"/>
      <name val="Arial"/>
      <family val="2"/>
      <scheme val="minor"/>
    </font>
    <font>
      <sz val="14"/>
      <color theme="1"/>
      <name val="Arial"/>
      <family val="2"/>
      <scheme val="minor"/>
    </font>
    <font>
      <sz val="14"/>
      <color rgb="FF0070C0"/>
      <name val="Arial"/>
      <family val="2"/>
      <scheme val="minor"/>
    </font>
  </fonts>
  <fills count="23">
    <fill>
      <patternFill patternType="none"/>
    </fill>
    <fill>
      <patternFill patternType="gray125"/>
    </fill>
    <fill>
      <patternFill patternType="solid">
        <fgColor rgb="FFC6EFCE"/>
      </patternFill>
    </fill>
    <fill>
      <patternFill patternType="solid">
        <fgColor rgb="FFFFC7CE"/>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0" tint="-4.9989318521683403E-2"/>
        <bgColor indexed="64"/>
      </patternFill>
    </fill>
    <fill>
      <patternFill patternType="solid">
        <fgColor theme="0" tint="-0.249977111117893"/>
        <bgColor indexed="64"/>
      </patternFill>
    </fill>
    <fill>
      <patternFill patternType="solid">
        <fgColor theme="6" tint="0.39997558519241921"/>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9" tint="0.59999389629810485"/>
        <bgColor indexed="65"/>
      </patternFill>
    </fill>
    <fill>
      <patternFill patternType="solid">
        <fgColor theme="6" tint="0.79998168889431442"/>
        <bgColor indexed="64"/>
      </patternFill>
    </fill>
    <fill>
      <patternFill patternType="solid">
        <fgColor theme="8" tint="0.59999389629810485"/>
        <bgColor indexed="64"/>
      </patternFill>
    </fill>
    <fill>
      <patternFill patternType="solid">
        <fgColor rgb="FFFFEB9C"/>
      </patternFill>
    </fill>
    <fill>
      <patternFill patternType="solid">
        <fgColor rgb="FFFFFFCC"/>
      </patternFill>
    </fill>
    <fill>
      <patternFill patternType="solid">
        <fgColor theme="5"/>
      </patternFill>
    </fill>
    <fill>
      <patternFill patternType="solid">
        <fgColor theme="6" tint="0.39997558519241921"/>
        <bgColor indexed="65"/>
      </patternFill>
    </fill>
    <fill>
      <patternFill patternType="solid">
        <fgColor theme="9"/>
      </patternFill>
    </fill>
    <fill>
      <patternFill patternType="solid">
        <fgColor theme="6"/>
      </patternFill>
    </fill>
  </fills>
  <borders count="13">
    <border>
      <left/>
      <right/>
      <top/>
      <bottom/>
      <diagonal/>
    </border>
    <border>
      <left/>
      <right/>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s>
  <cellStyleXfs count="13">
    <xf numFmtId="0" fontId="0" fillId="0" borderId="0"/>
    <xf numFmtId="0" fontId="7" fillId="2" borderId="0" applyNumberFormat="0" applyBorder="0" applyAlignment="0" applyProtection="0"/>
    <xf numFmtId="0" fontId="8" fillId="3" borderId="0" applyNumberFormat="0" applyBorder="0" applyAlignment="0" applyProtection="0"/>
    <xf numFmtId="0" fontId="9" fillId="0" borderId="0"/>
    <xf numFmtId="0" fontId="6" fillId="6" borderId="0" applyNumberFormat="0" applyBorder="0" applyAlignment="0" applyProtection="0"/>
    <xf numFmtId="0" fontId="6" fillId="7" borderId="0" applyNumberFormat="0" applyBorder="0" applyAlignment="0" applyProtection="0"/>
    <xf numFmtId="0" fontId="5" fillId="14" borderId="0" applyNumberFormat="0" applyBorder="0" applyAlignment="0" applyProtection="0"/>
    <xf numFmtId="0" fontId="18" fillId="17" borderId="0" applyNumberFormat="0" applyBorder="0" applyAlignment="0" applyProtection="0"/>
    <xf numFmtId="0" fontId="17" fillId="18" borderId="12" applyNumberFormat="0" applyFont="0" applyAlignment="0" applyProtection="0"/>
    <xf numFmtId="0" fontId="19" fillId="19" borderId="0" applyNumberFormat="0" applyBorder="0" applyAlignment="0" applyProtection="0"/>
    <xf numFmtId="0" fontId="19" fillId="20" borderId="0" applyNumberFormat="0" applyBorder="0" applyAlignment="0" applyProtection="0"/>
    <xf numFmtId="0" fontId="19" fillId="21" borderId="0" applyNumberFormat="0" applyBorder="0" applyAlignment="0" applyProtection="0"/>
    <xf numFmtId="0" fontId="19" fillId="22" borderId="0" applyNumberFormat="0" applyBorder="0" applyAlignment="0" applyProtection="0"/>
  </cellStyleXfs>
  <cellXfs count="115">
    <xf numFmtId="0" fontId="0" fillId="0" borderId="0" xfId="0"/>
    <xf numFmtId="0" fontId="0" fillId="0" borderId="0" xfId="0" applyAlignment="1">
      <alignment horizontal="center" vertical="center"/>
    </xf>
    <xf numFmtId="0" fontId="7" fillId="2" borderId="0" xfId="1" applyAlignment="1">
      <alignment horizontal="center" vertical="center"/>
    </xf>
    <xf numFmtId="0" fontId="7" fillId="2" borderId="0" xfId="1"/>
    <xf numFmtId="16" fontId="7" fillId="2" borderId="0" xfId="1" applyNumberFormat="1" applyAlignment="1">
      <alignment horizontal="center" vertical="center"/>
    </xf>
    <xf numFmtId="0" fontId="0" fillId="0" borderId="0" xfId="0" applyAlignment="1">
      <alignment horizontal="center"/>
    </xf>
    <xf numFmtId="0" fontId="0" fillId="4" borderId="0" xfId="0" applyFill="1" applyProtection="1">
      <protection locked="0"/>
    </xf>
    <xf numFmtId="0" fontId="9" fillId="4" borderId="0" xfId="0" applyFont="1" applyFill="1" applyAlignment="1" applyProtection="1">
      <alignment vertical="top"/>
      <protection locked="0"/>
    </xf>
    <xf numFmtId="0" fontId="9" fillId="4" borderId="0" xfId="0" applyFont="1" applyFill="1" applyAlignment="1" applyProtection="1">
      <alignment horizontal="center" vertical="top"/>
      <protection locked="0"/>
    </xf>
    <xf numFmtId="0" fontId="10" fillId="4" borderId="0" xfId="3" applyFont="1" applyFill="1" applyAlignment="1" applyProtection="1">
      <protection locked="0"/>
    </xf>
    <xf numFmtId="0" fontId="9" fillId="4" borderId="1" xfId="0" applyFont="1" applyFill="1" applyBorder="1" applyAlignment="1" applyProtection="1">
      <alignment horizontal="left"/>
      <protection locked="0"/>
    </xf>
    <xf numFmtId="0" fontId="0" fillId="4" borderId="0" xfId="0" applyFill="1"/>
    <xf numFmtId="0" fontId="0" fillId="4" borderId="0" xfId="0" applyFill="1" applyAlignment="1" applyProtection="1">
      <alignment horizontal="center"/>
      <protection locked="0"/>
    </xf>
    <xf numFmtId="0" fontId="9" fillId="4" borderId="2" xfId="0" applyFont="1" applyFill="1" applyBorder="1" applyAlignment="1" applyProtection="1">
      <protection locked="0"/>
    </xf>
    <xf numFmtId="14" fontId="9" fillId="4" borderId="2" xfId="0" applyNumberFormat="1" applyFont="1" applyFill="1" applyBorder="1" applyAlignment="1" applyProtection="1">
      <alignment horizontal="left"/>
      <protection locked="0"/>
    </xf>
    <xf numFmtId="14" fontId="9" fillId="4" borderId="0" xfId="0" applyNumberFormat="1" applyFont="1" applyFill="1" applyBorder="1" applyAlignment="1" applyProtection="1">
      <alignment horizontal="left"/>
      <protection locked="0"/>
    </xf>
    <xf numFmtId="0" fontId="0" fillId="0" borderId="0" xfId="0" applyProtection="1">
      <protection locked="0"/>
    </xf>
    <xf numFmtId="0" fontId="0" fillId="0" borderId="0" xfId="0" applyAlignment="1" applyProtection="1">
      <alignment horizontal="center" vertical="center"/>
      <protection locked="0"/>
    </xf>
    <xf numFmtId="0" fontId="0" fillId="0" borderId="0" xfId="0" applyAlignment="1" applyProtection="1">
      <alignment horizontal="center" vertical="center"/>
    </xf>
    <xf numFmtId="0" fontId="0" fillId="0" borderId="0" xfId="0" applyProtection="1"/>
    <xf numFmtId="0" fontId="0" fillId="0" borderId="0" xfId="0" applyAlignment="1" applyProtection="1">
      <alignment horizontal="center"/>
      <protection locked="0"/>
    </xf>
    <xf numFmtId="0" fontId="0" fillId="0" borderId="0" xfId="0" applyAlignment="1">
      <alignment horizontal="center" vertical="center" wrapText="1"/>
    </xf>
    <xf numFmtId="0" fontId="0" fillId="0" borderId="0" xfId="0" applyAlignment="1" applyProtection="1">
      <alignment horizontal="center" vertical="center" wrapText="1"/>
      <protection locked="0"/>
    </xf>
    <xf numFmtId="0" fontId="0" fillId="0" borderId="0" xfId="0" applyAlignment="1">
      <alignment horizontal="center" vertical="center"/>
    </xf>
    <xf numFmtId="0" fontId="0" fillId="0" borderId="0" xfId="0" applyAlignment="1">
      <alignment horizontal="center"/>
    </xf>
    <xf numFmtId="0" fontId="0" fillId="0" borderId="0" xfId="0" applyAlignment="1">
      <alignment vertical="center" wrapText="1"/>
    </xf>
    <xf numFmtId="0" fontId="0" fillId="0" borderId="7" xfId="0" applyBorder="1" applyAlignment="1">
      <alignment horizontal="center" vertical="center" wrapText="1"/>
    </xf>
    <xf numFmtId="0" fontId="7" fillId="2" borderId="0" xfId="1" applyAlignment="1" applyProtection="1">
      <alignment wrapText="1"/>
      <protection locked="0"/>
    </xf>
    <xf numFmtId="0" fontId="7" fillId="2" borderId="0" xfId="1" applyAlignment="1" applyProtection="1">
      <alignment wrapText="1"/>
    </xf>
    <xf numFmtId="0" fontId="6" fillId="7" borderId="3" xfId="5" applyBorder="1" applyAlignment="1">
      <alignment horizontal="center" vertical="center" wrapText="1" readingOrder="1"/>
    </xf>
    <xf numFmtId="0" fontId="6" fillId="7" borderId="4" xfId="5" applyBorder="1" applyAlignment="1">
      <alignment horizontal="center" vertical="center" wrapText="1" readingOrder="1"/>
    </xf>
    <xf numFmtId="0" fontId="6" fillId="7" borderId="7" xfId="5" applyBorder="1" applyAlignment="1">
      <alignment horizontal="center" vertical="center" wrapText="1"/>
    </xf>
    <xf numFmtId="0" fontId="7" fillId="2" borderId="0" xfId="1" applyAlignment="1">
      <alignment horizontal="center"/>
    </xf>
    <xf numFmtId="0" fontId="6" fillId="6" borderId="8" xfId="4" applyBorder="1" applyAlignment="1">
      <alignment horizontal="center" vertical="center"/>
    </xf>
    <xf numFmtId="0" fontId="6" fillId="6" borderId="8" xfId="4" applyBorder="1"/>
    <xf numFmtId="0" fontId="6" fillId="6" borderId="8" xfId="4" quotePrefix="1" applyBorder="1" applyAlignment="1">
      <alignment horizontal="center" wrapText="1"/>
    </xf>
    <xf numFmtId="0" fontId="6" fillId="6" borderId="8" xfId="4" applyBorder="1" applyAlignment="1">
      <alignment horizontal="center"/>
    </xf>
    <xf numFmtId="0" fontId="6" fillId="6" borderId="8" xfId="4" applyBorder="1" applyAlignment="1">
      <alignment horizontal="center" vertical="center" wrapText="1"/>
    </xf>
    <xf numFmtId="0" fontId="6" fillId="6" borderId="8" xfId="4" applyBorder="1" applyAlignment="1" applyProtection="1">
      <alignment horizontal="center" vertical="center" wrapText="1"/>
      <protection locked="0"/>
    </xf>
    <xf numFmtId="0" fontId="6" fillId="6" borderId="8" xfId="4" applyBorder="1" applyProtection="1">
      <protection locked="0"/>
    </xf>
    <xf numFmtId="0" fontId="0" fillId="9" borderId="0" xfId="0" applyFill="1" applyAlignment="1">
      <alignment horizontal="center"/>
    </xf>
    <xf numFmtId="0" fontId="0" fillId="9" borderId="0" xfId="0" applyFill="1" applyAlignment="1" applyProtection="1">
      <alignment horizontal="center" vertical="center"/>
      <protection locked="0"/>
    </xf>
    <xf numFmtId="0" fontId="0" fillId="9" borderId="0" xfId="0" applyFill="1" applyAlignment="1" applyProtection="1">
      <alignment horizontal="center" vertical="center" wrapText="1"/>
      <protection locked="0"/>
    </xf>
    <xf numFmtId="0" fontId="0" fillId="10" borderId="0" xfId="0" applyFill="1" applyAlignment="1">
      <alignment horizontal="center" vertical="center"/>
    </xf>
    <xf numFmtId="0" fontId="0" fillId="11" borderId="0" xfId="0" applyFill="1" applyAlignment="1">
      <alignment horizontal="center" vertical="center"/>
    </xf>
    <xf numFmtId="0" fontId="0" fillId="12" borderId="8" xfId="0" applyFill="1" applyBorder="1" applyAlignment="1">
      <alignment horizontal="center" vertical="center"/>
    </xf>
    <xf numFmtId="0" fontId="0" fillId="13" borderId="8" xfId="0" applyFill="1" applyBorder="1" applyAlignment="1" applyProtection="1">
      <alignment horizontal="center" vertical="center"/>
    </xf>
    <xf numFmtId="0" fontId="0" fillId="13" borderId="8" xfId="0" applyFill="1" applyBorder="1" applyProtection="1"/>
    <xf numFmtId="0" fontId="0" fillId="13" borderId="8" xfId="0" applyFill="1" applyBorder="1" applyAlignment="1" applyProtection="1">
      <alignment horizontal="center" vertical="center" wrapText="1"/>
    </xf>
    <xf numFmtId="0" fontId="0" fillId="13" borderId="8" xfId="0" applyFill="1" applyBorder="1" applyAlignment="1">
      <alignment horizontal="center" vertical="center" wrapText="1"/>
    </xf>
    <xf numFmtId="0" fontId="0" fillId="8" borderId="0" xfId="0" applyFill="1" applyAlignment="1" applyProtection="1">
      <alignment horizontal="center" vertical="center" wrapText="1"/>
      <protection locked="0"/>
    </xf>
    <xf numFmtId="0" fontId="0" fillId="0" borderId="0" xfId="0" applyAlignment="1">
      <alignment horizontal="center" vertical="center"/>
    </xf>
    <xf numFmtId="0" fontId="0" fillId="9" borderId="0" xfId="0" applyFill="1" applyAlignment="1">
      <alignment horizontal="center" vertical="center"/>
    </xf>
    <xf numFmtId="0" fontId="5" fillId="6" borderId="8" xfId="4" applyFont="1" applyBorder="1" applyAlignment="1">
      <alignment horizontal="center" vertical="center"/>
    </xf>
    <xf numFmtId="0" fontId="5" fillId="6" borderId="8" xfId="4" applyFont="1" applyBorder="1" applyAlignment="1">
      <alignment horizontal="center" vertical="center" wrapText="1"/>
    </xf>
    <xf numFmtId="0" fontId="0" fillId="12" borderId="8" xfId="0" applyFill="1" applyBorder="1" applyAlignment="1">
      <alignment horizontal="center" vertical="center" wrapText="1"/>
    </xf>
    <xf numFmtId="49" fontId="5" fillId="14" borderId="0" xfId="6" applyNumberFormat="1" applyAlignment="1">
      <alignment horizontal="center" vertical="center"/>
    </xf>
    <xf numFmtId="0" fontId="5" fillId="14" borderId="0" xfId="6" applyAlignment="1">
      <alignment horizontal="center" vertical="center"/>
    </xf>
    <xf numFmtId="0" fontId="5" fillId="14" borderId="8" xfId="6" applyBorder="1" applyAlignment="1">
      <alignment horizontal="center"/>
    </xf>
    <xf numFmtId="0" fontId="0" fillId="13" borderId="8" xfId="0" applyFill="1" applyBorder="1" applyAlignment="1">
      <alignment horizontal="center" wrapText="1"/>
    </xf>
    <xf numFmtId="0" fontId="0" fillId="13" borderId="8" xfId="0" applyFill="1" applyBorder="1" applyAlignment="1">
      <alignment horizontal="center" vertical="center"/>
    </xf>
    <xf numFmtId="0" fontId="7" fillId="0" borderId="0" xfId="1" applyFill="1" applyAlignment="1" applyProtection="1">
      <alignment wrapText="1"/>
      <protection locked="0"/>
    </xf>
    <xf numFmtId="0" fontId="7" fillId="2" borderId="0" xfId="1" applyAlignment="1">
      <alignment horizontal="center" vertical="center"/>
    </xf>
    <xf numFmtId="0" fontId="0" fillId="0" borderId="0" xfId="0"/>
    <xf numFmtId="0" fontId="0" fillId="4" borderId="0" xfId="0" applyFill="1" applyAlignment="1" applyProtection="1">
      <alignment horizontal="center"/>
    </xf>
    <xf numFmtId="0" fontId="15" fillId="15" borderId="0" xfId="0" applyFont="1" applyFill="1" applyAlignment="1" applyProtection="1">
      <alignment horizontal="center"/>
    </xf>
    <xf numFmtId="0" fontId="8" fillId="3" borderId="0" xfId="2" applyAlignment="1" applyProtection="1">
      <alignment horizontal="center"/>
      <protection locked="0"/>
    </xf>
    <xf numFmtId="0" fontId="0" fillId="0" borderId="0" xfId="0" applyAlignment="1">
      <alignment horizontal="center" vertical="center"/>
    </xf>
    <xf numFmtId="0" fontId="0" fillId="0" borderId="0" xfId="0" applyAlignment="1">
      <alignment horizontal="center" vertical="center" wrapText="1"/>
    </xf>
    <xf numFmtId="0" fontId="3" fillId="6" borderId="8" xfId="4" applyFont="1" applyBorder="1" applyAlignment="1" applyProtection="1">
      <alignment horizontal="center" vertical="center" wrapText="1"/>
      <protection locked="0"/>
    </xf>
    <xf numFmtId="0" fontId="0" fillId="5" borderId="0" xfId="0" applyFill="1" applyAlignment="1" applyProtection="1">
      <alignment horizontal="center" vertical="center" wrapText="1"/>
      <protection locked="0"/>
    </xf>
    <xf numFmtId="0" fontId="0" fillId="13" borderId="0" xfId="0" applyFill="1" applyAlignment="1" applyProtection="1">
      <alignment horizontal="center" vertical="center" wrapText="1"/>
    </xf>
    <xf numFmtId="0" fontId="0" fillId="0" borderId="0" xfId="0" applyAlignment="1">
      <alignment wrapText="1"/>
    </xf>
    <xf numFmtId="0" fontId="0" fillId="0" borderId="0" xfId="0" applyAlignment="1">
      <alignment horizontal="center" vertical="center"/>
    </xf>
    <xf numFmtId="0" fontId="0" fillId="0" borderId="0" xfId="0" applyAlignment="1">
      <alignment horizontal="center" vertical="center"/>
    </xf>
    <xf numFmtId="0" fontId="16" fillId="16" borderId="0" xfId="0" applyFont="1" applyFill="1" applyAlignment="1">
      <alignment horizontal="center" vertical="center"/>
    </xf>
    <xf numFmtId="0" fontId="19" fillId="20" borderId="0" xfId="10"/>
    <xf numFmtId="0" fontId="0" fillId="18" borderId="12" xfId="8" applyFont="1"/>
    <xf numFmtId="0" fontId="18" fillId="17" borderId="0" xfId="7"/>
    <xf numFmtId="0" fontId="19" fillId="21" borderId="0" xfId="11"/>
    <xf numFmtId="0" fontId="19" fillId="19" borderId="0" xfId="9"/>
    <xf numFmtId="0" fontId="19" fillId="19" borderId="6" xfId="9" applyBorder="1" applyAlignment="1">
      <alignment horizontal="center" vertical="center" wrapText="1" readingOrder="1"/>
    </xf>
    <xf numFmtId="0" fontId="18" fillId="17" borderId="6" xfId="7" applyBorder="1" applyAlignment="1">
      <alignment horizontal="center" vertical="center" wrapText="1" readingOrder="1"/>
    </xf>
    <xf numFmtId="0" fontId="19" fillId="22" borderId="6" xfId="12" applyBorder="1" applyAlignment="1">
      <alignment horizontal="center" vertical="center" wrapText="1" readingOrder="1"/>
    </xf>
    <xf numFmtId="0" fontId="19" fillId="21" borderId="6" xfId="11" applyBorder="1" applyAlignment="1">
      <alignment horizontal="center" vertical="center" wrapText="1" readingOrder="1"/>
    </xf>
    <xf numFmtId="0" fontId="2" fillId="0" borderId="0" xfId="9" applyFont="1" applyFill="1" applyAlignment="1" applyProtection="1">
      <alignment horizontal="center" vertical="center"/>
      <protection locked="0"/>
    </xf>
    <xf numFmtId="0" fontId="4" fillId="15" borderId="5" xfId="5" applyFont="1" applyFill="1" applyBorder="1" applyAlignment="1">
      <alignment horizontal="center" vertical="center" wrapText="1" readingOrder="1"/>
    </xf>
    <xf numFmtId="0" fontId="4" fillId="15" borderId="4" xfId="5" applyFont="1" applyFill="1" applyBorder="1" applyAlignment="1">
      <alignment horizontal="center" vertical="center" wrapText="1" readingOrder="1"/>
    </xf>
    <xf numFmtId="0" fontId="13" fillId="15" borderId="5" xfId="0" applyFont="1" applyFill="1" applyBorder="1" applyAlignment="1">
      <alignment horizontal="center" vertical="center" wrapText="1" readingOrder="1"/>
    </xf>
    <xf numFmtId="49" fontId="13" fillId="15" borderId="3" xfId="0" applyNumberFormat="1" applyFont="1" applyFill="1" applyBorder="1" applyAlignment="1">
      <alignment horizontal="center" vertical="center" wrapText="1" readingOrder="1"/>
    </xf>
    <xf numFmtId="49" fontId="13" fillId="15" borderId="5" xfId="0" applyNumberFormat="1" applyFont="1" applyFill="1" applyBorder="1" applyAlignment="1">
      <alignment horizontal="center" vertical="center" wrapText="1" readingOrder="1"/>
    </xf>
    <xf numFmtId="0" fontId="21" fillId="15" borderId="0" xfId="0" applyFont="1" applyFill="1" applyAlignment="1">
      <alignment horizontal="left" vertical="center" wrapText="1"/>
    </xf>
    <xf numFmtId="0" fontId="0" fillId="15" borderId="0" xfId="0" applyFill="1" applyAlignment="1">
      <alignment horizontal="left" vertical="center"/>
    </xf>
    <xf numFmtId="0" fontId="0" fillId="0" borderId="0" xfId="0" applyAlignment="1" applyProtection="1">
      <alignment horizontal="left" vertical="top"/>
      <protection locked="0"/>
    </xf>
    <xf numFmtId="0" fontId="0" fillId="0" borderId="0" xfId="0" applyAlignment="1">
      <alignment horizontal="left" vertical="center" wrapText="1"/>
    </xf>
    <xf numFmtId="0" fontId="0" fillId="0" borderId="7" xfId="0" applyBorder="1" applyAlignment="1">
      <alignment horizontal="center" vertical="center" wrapText="1"/>
    </xf>
    <xf numFmtId="0" fontId="7" fillId="2" borderId="0" xfId="1" applyAlignment="1">
      <alignment horizontal="center" vertical="center"/>
    </xf>
    <xf numFmtId="0" fontId="14" fillId="4" borderId="0" xfId="3" applyFont="1" applyFill="1" applyAlignment="1" applyProtection="1">
      <alignment horizontal="center"/>
    </xf>
    <xf numFmtId="0" fontId="11" fillId="4" borderId="0" xfId="3" applyFont="1" applyFill="1" applyAlignment="1" applyProtection="1">
      <alignment horizontal="center"/>
    </xf>
    <xf numFmtId="0" fontId="7" fillId="2" borderId="0" xfId="1" applyAlignment="1" applyProtection="1">
      <alignment horizontal="center" vertical="center"/>
      <protection locked="0"/>
    </xf>
    <xf numFmtId="0" fontId="7" fillId="2" borderId="0" xfId="1" applyAlignment="1">
      <alignment vertical="center"/>
    </xf>
    <xf numFmtId="0" fontId="0" fillId="0" borderId="0" xfId="0" applyAlignment="1" applyProtection="1">
      <alignment vertical="top"/>
      <protection locked="0"/>
    </xf>
    <xf numFmtId="0" fontId="0" fillId="0" borderId="0" xfId="0" applyAlignment="1">
      <alignment horizontal="center"/>
    </xf>
    <xf numFmtId="0" fontId="0" fillId="3" borderId="0" xfId="2" applyFont="1" applyBorder="1" applyAlignment="1">
      <alignment horizontal="center" vertical="center" wrapText="1"/>
    </xf>
    <xf numFmtId="0" fontId="8" fillId="3" borderId="0" xfId="2" applyAlignment="1">
      <alignment horizontal="center" vertical="center" wrapText="1"/>
    </xf>
    <xf numFmtId="0" fontId="6" fillId="7" borderId="0" xfId="5" applyAlignment="1">
      <alignment horizontal="center" vertical="center"/>
    </xf>
    <xf numFmtId="0" fontId="5" fillId="14" borderId="9" xfId="6" applyBorder="1" applyAlignment="1">
      <alignment horizontal="center" vertical="center"/>
    </xf>
    <xf numFmtId="0" fontId="5" fillId="14" borderId="0" xfId="6" applyAlignment="1">
      <alignment horizontal="center" vertical="center"/>
    </xf>
    <xf numFmtId="0" fontId="0" fillId="0" borderId="0" xfId="0" applyAlignment="1">
      <alignment horizontal="center" vertical="center"/>
    </xf>
    <xf numFmtId="0" fontId="5" fillId="7" borderId="9" xfId="5" applyFont="1" applyBorder="1" applyAlignment="1">
      <alignment horizontal="center" vertical="center"/>
    </xf>
    <xf numFmtId="0" fontId="5" fillId="14" borderId="8" xfId="6" applyBorder="1" applyAlignment="1">
      <alignment horizontal="center" vertical="center"/>
    </xf>
    <xf numFmtId="0" fontId="5" fillId="14" borderId="10" xfId="6" applyBorder="1" applyAlignment="1">
      <alignment horizontal="center"/>
    </xf>
    <xf numFmtId="0" fontId="5" fillId="14" borderId="11" xfId="6" applyBorder="1" applyAlignment="1">
      <alignment horizontal="center"/>
    </xf>
    <xf numFmtId="0" fontId="0" fillId="5" borderId="0" xfId="0" applyFill="1" applyAlignment="1" applyProtection="1">
      <alignment horizontal="center"/>
      <protection locked="0"/>
    </xf>
    <xf numFmtId="0" fontId="1" fillId="14" borderId="8" xfId="6" applyFont="1" applyBorder="1" applyAlignment="1">
      <alignment wrapText="1"/>
    </xf>
  </cellXfs>
  <cellStyles count="13">
    <cellStyle name="20% - Accent1" xfId="4" builtinId="30"/>
    <cellStyle name="40% - Accent1" xfId="5" builtinId="31"/>
    <cellStyle name="40% - Accent6" xfId="6" builtinId="51"/>
    <cellStyle name="60% - Accent3" xfId="10" builtinId="40"/>
    <cellStyle name="Accent2" xfId="9" builtinId="33"/>
    <cellStyle name="Accent3" xfId="12" builtinId="37"/>
    <cellStyle name="Accent6" xfId="11" builtinId="49"/>
    <cellStyle name="Bad" xfId="2" builtinId="27"/>
    <cellStyle name="Good" xfId="1" builtinId="26"/>
    <cellStyle name="Neutral" xfId="7" builtinId="28"/>
    <cellStyle name="Normal" xfId="0" builtinId="0"/>
    <cellStyle name="Normal 2" xfId="3"/>
    <cellStyle name="Note" xfId="8" builtinId="10"/>
  </cellStyles>
  <dxfs count="16">
    <dxf>
      <fill>
        <patternFill>
          <bgColor rgb="FFB9CF87"/>
        </patternFill>
      </fill>
    </dxf>
    <dxf>
      <fill>
        <patternFill>
          <bgColor rgb="FFFFFF99"/>
        </patternFill>
      </fill>
    </dxf>
    <dxf>
      <fill>
        <patternFill>
          <bgColor theme="9" tint="-0.24994659260841701"/>
        </patternFill>
      </fill>
    </dxf>
    <dxf>
      <fill>
        <patternFill>
          <bgColor rgb="FFC00000"/>
        </patternFill>
      </fill>
    </dxf>
    <dxf>
      <fill>
        <patternFill>
          <bgColor rgb="FFB82C00"/>
        </patternFill>
      </fill>
    </dxf>
    <dxf>
      <fill>
        <patternFill>
          <bgColor theme="9" tint="-0.24994659260841701"/>
        </patternFill>
      </fill>
    </dxf>
    <dxf>
      <fill>
        <patternFill>
          <bgColor rgb="FFFFFFAF"/>
        </patternFill>
      </fill>
    </dxf>
    <dxf>
      <fill>
        <patternFill>
          <bgColor rgb="FFBBD18B"/>
        </patternFill>
      </fill>
    </dxf>
    <dxf>
      <fill>
        <patternFill>
          <bgColor rgb="FFFFFF99"/>
        </patternFill>
      </fill>
    </dxf>
    <dxf>
      <fill>
        <patternFill>
          <bgColor theme="9" tint="-0.24994659260841701"/>
        </patternFill>
      </fill>
    </dxf>
    <dxf>
      <fill>
        <patternFill>
          <bgColor rgb="FFC00000"/>
        </patternFill>
      </fill>
    </dxf>
    <dxf>
      <fill>
        <patternFill>
          <bgColor rgb="FFBAD08A"/>
        </patternFill>
      </fill>
    </dxf>
    <dxf>
      <fill>
        <patternFill>
          <bgColor rgb="FFC00000"/>
        </patternFill>
      </fill>
    </dxf>
    <dxf>
      <fill>
        <patternFill>
          <fgColor theme="6" tint="0.39991454817346722"/>
          <bgColor theme="6" tint="0.39994506668294322"/>
        </patternFill>
      </fill>
    </dxf>
    <dxf>
      <fill>
        <patternFill>
          <fgColor rgb="FFFFFFCC"/>
          <bgColor rgb="FFFFFFCC"/>
        </patternFill>
      </fill>
    </dxf>
    <dxf>
      <fill>
        <patternFill>
          <bgColor theme="9" tint="-0.24994659260841701"/>
        </patternFill>
      </fill>
    </dxf>
  </dxfs>
  <tableStyles count="0" defaultTableStyle="TableStyleMedium9" defaultPivotStyle="PivotStyleLight16"/>
  <colors>
    <mruColors>
      <color rgb="FFCC0000"/>
      <color rgb="FFBAD08A"/>
      <color rgb="FFFFFF99"/>
      <color rgb="FFB9CF87"/>
      <color rgb="FFB82C00"/>
      <color rgb="FFCC3300"/>
      <color rgb="FFFFFFAF"/>
      <color rgb="FFBBD18B"/>
      <color rgb="FFC75F09"/>
      <color rgb="FFF470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t>Inherent</a:t>
            </a:r>
            <a:r>
              <a:rPr lang="en-US" sz="2400" baseline="0"/>
              <a:t> Risk Matrix </a:t>
            </a:r>
            <a:endParaRPr lang="en-US" sz="2400"/>
          </a:p>
        </c:rich>
      </c:tx>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Y"/>
        </a:p>
      </c:txPr>
    </c:title>
    <c:autoTitleDeleted val="0"/>
    <c:plotArea>
      <c:layout>
        <c:manualLayout>
          <c:layoutTarget val="inner"/>
          <c:xMode val="edge"/>
          <c:yMode val="edge"/>
          <c:x val="0.17377666666666669"/>
          <c:y val="0.12847141116929761"/>
          <c:w val="0.66308055555555556"/>
          <c:h val="0.68980491659420029"/>
        </c:manualLayout>
      </c:layout>
      <c:scatterChart>
        <c:scatterStyle val="lineMarker"/>
        <c:varyColors val="0"/>
        <c:ser>
          <c:idx val="0"/>
          <c:order val="0"/>
          <c:tx>
            <c:strRef>
              <c:f>Inherent_Risk_Scores!$B$2</c:f>
              <c:strCache>
                <c:ptCount val="1"/>
                <c:pt idx="0">
                  <c:v>R-01</c:v>
                </c:pt>
              </c:strCache>
            </c:strRef>
          </c:tx>
          <c:spPr>
            <a:ln w="25400" cap="rnd">
              <a:noFill/>
              <a:round/>
            </a:ln>
            <a:effectLst/>
          </c:spPr>
          <c:marker>
            <c:symbol val="circle"/>
            <c:size val="5"/>
            <c:spPr>
              <a:solidFill>
                <a:schemeClr val="accent6">
                  <a:lumMod val="40000"/>
                  <a:lumOff val="60000"/>
                </a:schemeClr>
              </a:solidFill>
              <a:ln w="9525">
                <a:solidFill>
                  <a:schemeClr val="accent1"/>
                </a:solidFill>
              </a:ln>
              <a:effectLst/>
            </c:spPr>
          </c:marker>
          <c:dLbls>
            <c:dLbl>
              <c:idx val="0"/>
              <c:layout>
                <c:manualLayout>
                  <c:x val="-0.13328120370370378"/>
                  <c:y val="6.6167162717100506E-2"/>
                </c:manualLayout>
              </c:layout>
              <c:tx>
                <c:rich>
                  <a:bodyPr rot="0" spcFirstLastPara="1" vertOverflow="ellipsis" vert="horz" wrap="square" lIns="38100" tIns="19050" rIns="38100" bIns="19050" anchor="ctr" anchorCtr="1">
                    <a:noAutofit/>
                  </a:bodyPr>
                  <a:lstStyle/>
                  <a:p>
                    <a:pPr rtl="1">
                      <a:defRPr sz="900" b="0" i="0" u="none" strike="noStrike" kern="1200" baseline="0">
                        <a:solidFill>
                          <a:schemeClr val="tx1">
                            <a:lumMod val="75000"/>
                            <a:lumOff val="25000"/>
                          </a:schemeClr>
                        </a:solidFill>
                        <a:latin typeface="+mn-lt"/>
                        <a:ea typeface="+mn-ea"/>
                        <a:cs typeface="+mn-cs"/>
                      </a:defRPr>
                    </a:pPr>
                    <a:fld id="{CBC32AF5-AA2A-4DBD-B43E-2B2F7D63B2B5}" type="CELLRANGE">
                      <a:rPr lang="en-US" baseline="0"/>
                      <a:pPr rtl="1">
                        <a:defRPr/>
                      </a:pPr>
                      <a:t>[CELLRANGE]</a:t>
                    </a:fld>
                    <a:r>
                      <a:rPr lang="en-US" baseline="0"/>
                      <a:t>, </a:t>
                    </a:r>
                    <a:fld id="{5EED24AB-F448-4829-A385-E1699B949A52}" type="SERIESNAME">
                      <a:rPr lang="en-US" baseline="0"/>
                      <a:pPr rtl="1">
                        <a:defRPr/>
                      </a:pPr>
                      <a:t>[SERIES NAME]</a:t>
                    </a:fld>
                    <a:endParaRPr lang="en-US" baseline="0"/>
                  </a:p>
                </c:rich>
              </c:tx>
              <c:spPr>
                <a:noFill/>
                <a:ln>
                  <a:noFill/>
                </a:ln>
                <a:effectLst/>
              </c:spPr>
              <c:txPr>
                <a:bodyPr rot="0" spcFirstLastPara="1" vertOverflow="ellipsis" vert="horz" wrap="square" lIns="38100" tIns="19050" rIns="38100" bIns="19050" anchor="ctr" anchorCtr="1">
                  <a:noAutofit/>
                </a:bodyPr>
                <a:lstStyle/>
                <a:p>
                  <a:pPr rtl="1">
                    <a:defRPr sz="900" b="0" i="0" u="none" strike="noStrike" kern="1200" baseline="0">
                      <a:solidFill>
                        <a:schemeClr val="tx1">
                          <a:lumMod val="75000"/>
                          <a:lumOff val="25000"/>
                        </a:schemeClr>
                      </a:solidFill>
                      <a:latin typeface="+mn-lt"/>
                      <a:ea typeface="+mn-ea"/>
                      <a:cs typeface="+mn-cs"/>
                    </a:defRPr>
                  </a:pPr>
                  <a:endParaRPr lang="ar-SY"/>
                </a:p>
              </c:txPr>
              <c:dLblPos val="r"/>
              <c:showLegendKey val="0"/>
              <c:showVal val="0"/>
              <c:showCatName val="0"/>
              <c:showSerName val="1"/>
              <c:showPercent val="0"/>
              <c:showBubbleSize val="0"/>
              <c:separator>, </c:separator>
              <c:extLst>
                <c:ext xmlns:c15="http://schemas.microsoft.com/office/drawing/2012/chart" uri="{CE6537A1-D6FC-4f65-9D91-7224C49458BB}">
                  <c15:layout>
                    <c:manualLayout>
                      <c:w val="0.11932773109243698"/>
                      <c:h val="0.12904486336798263"/>
                    </c:manualLayout>
                  </c15:layout>
                  <c15:dlblFieldTable/>
                  <c15:showDataLabelsRange val="1"/>
                </c:ext>
              </c:extLst>
            </c:dLbl>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ar-SY"/>
              </a:p>
            </c:txPr>
            <c:dLblPos val="b"/>
            <c:showLegendKey val="0"/>
            <c:showVal val="0"/>
            <c:showCatName val="0"/>
            <c:showSerName val="1"/>
            <c:showPercent val="0"/>
            <c:showBubbleSize val="0"/>
            <c:separator>; </c:separator>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Inherent_Risk_Scores!$D$2</c:f>
              <c:numCache>
                <c:formatCode>General</c:formatCode>
                <c:ptCount val="1"/>
                <c:pt idx="0">
                  <c:v>3</c:v>
                </c:pt>
              </c:numCache>
            </c:numRef>
          </c:xVal>
          <c:yVal>
            <c:numRef>
              <c:f>Inherent_Risk_Scores!$C$2</c:f>
              <c:numCache>
                <c:formatCode>General</c:formatCode>
                <c:ptCount val="1"/>
                <c:pt idx="0">
                  <c:v>4</c:v>
                </c:pt>
              </c:numCache>
            </c:numRef>
          </c:yVal>
          <c:smooth val="0"/>
          <c:extLst>
            <c:ext xmlns:c15="http://schemas.microsoft.com/office/drawing/2012/chart" uri="{02D57815-91ED-43cb-92C2-25804820EDAC}">
              <c15:datalabelsRange>
                <c15:f>Inherent_Risk_Scores!$E$2</c15:f>
                <c15:dlblRangeCache>
                  <c:ptCount val="1"/>
                  <c:pt idx="0">
                    <c:v>12</c:v>
                  </c:pt>
                </c15:dlblRangeCache>
              </c15:datalabelsRange>
            </c:ext>
          </c:extLst>
        </c:ser>
        <c:ser>
          <c:idx val="2"/>
          <c:order val="1"/>
          <c:tx>
            <c:strRef>
              <c:f>Inherent_Risk_Scores!$B$3</c:f>
              <c:strCache>
                <c:ptCount val="1"/>
              </c:strCache>
            </c:strRef>
          </c:tx>
          <c:spPr>
            <a:ln w="25400" cap="rnd">
              <a:no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Y"/>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xVal>
            <c:numRef>
              <c:f>Inherent_Risk_Scores!$D$3</c:f>
            </c:numRef>
          </c:xVal>
          <c:yVal>
            <c:numRef>
              <c:f>Inherent_Risk_Scores!$C$3</c:f>
              <c:numCache>
                <c:formatCode>General</c:formatCode>
                <c:ptCount val="1"/>
                <c:pt idx="0">
                  <c:v>0</c:v>
                </c:pt>
              </c:numCache>
            </c:numRef>
          </c:yVal>
          <c:smooth val="0"/>
        </c:ser>
        <c:ser>
          <c:idx val="1"/>
          <c:order val="2"/>
          <c:tx>
            <c:strRef>
              <c:f>Inherent_Risk_Scores!$B$4</c:f>
              <c:strCache>
                <c:ptCount val="1"/>
              </c:strCache>
            </c:strRef>
          </c:tx>
          <c:spPr>
            <a:ln w="25400" cap="rnd">
              <a:no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Y"/>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xVal>
            <c:numRef>
              <c:f>Inherent_Risk_Scores!$D$4</c:f>
            </c:numRef>
          </c:xVal>
          <c:yVal>
            <c:numRef>
              <c:f>Inherent_Risk_Scores!$C$4</c:f>
              <c:numCache>
                <c:formatCode>General</c:formatCode>
                <c:ptCount val="1"/>
                <c:pt idx="0">
                  <c:v>0</c:v>
                </c:pt>
              </c:numCache>
            </c:numRef>
          </c:yVal>
          <c:smooth val="0"/>
        </c:ser>
        <c:ser>
          <c:idx val="3"/>
          <c:order val="3"/>
          <c:tx>
            <c:strRef>
              <c:f>Inherent_Risk_Scores!$B$5</c:f>
              <c:strCache>
                <c:ptCount val="1"/>
              </c:strCache>
            </c:strRef>
          </c:tx>
          <c:spPr>
            <a:ln w="25400" cap="rnd">
              <a:no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Y"/>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xVal>
            <c:numRef>
              <c:f>Inherent_Risk_Scores!$D$5</c:f>
            </c:numRef>
          </c:xVal>
          <c:yVal>
            <c:numRef>
              <c:f>Inherent_Risk_Scores!$C$5</c:f>
              <c:numCache>
                <c:formatCode>General</c:formatCode>
                <c:ptCount val="1"/>
                <c:pt idx="0">
                  <c:v>0</c:v>
                </c:pt>
              </c:numCache>
            </c:numRef>
          </c:yVal>
          <c:smooth val="0"/>
        </c:ser>
        <c:ser>
          <c:idx val="4"/>
          <c:order val="4"/>
          <c:tx>
            <c:strRef>
              <c:f>Inherent_Risk_Scores!$B$6</c:f>
              <c:strCache>
                <c:ptCount val="1"/>
              </c:strCache>
            </c:strRef>
          </c:tx>
          <c:spPr>
            <a:ln w="25400" cap="rnd">
              <a:noFill/>
              <a:round/>
            </a:ln>
            <a:effectLst/>
          </c:spPr>
          <c:marker>
            <c:symbol val="circle"/>
            <c:size val="5"/>
            <c:spPr>
              <a:solidFill>
                <a:schemeClr val="accent5"/>
              </a:solidFill>
              <a:ln w="9525">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Y"/>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xVal>
            <c:numRef>
              <c:f>Inherent_Risk_Scores!$D$6</c:f>
            </c:numRef>
          </c:xVal>
          <c:yVal>
            <c:numRef>
              <c:f>Inherent_Risk_Scores!$C$6</c:f>
              <c:numCache>
                <c:formatCode>General</c:formatCode>
                <c:ptCount val="1"/>
                <c:pt idx="0">
                  <c:v>0</c:v>
                </c:pt>
              </c:numCache>
            </c:numRef>
          </c:yVal>
          <c:smooth val="0"/>
        </c:ser>
        <c:ser>
          <c:idx val="5"/>
          <c:order val="5"/>
          <c:tx>
            <c:strRef>
              <c:f>Inherent_Risk_Scores!$B$7</c:f>
              <c:strCache>
                <c:ptCount val="1"/>
              </c:strCache>
            </c:strRef>
          </c:tx>
          <c:spPr>
            <a:ln w="25400" cap="rnd">
              <a:no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Y"/>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xVal>
            <c:numRef>
              <c:f>Inherent_Risk_Scores!$D$7</c:f>
            </c:numRef>
          </c:xVal>
          <c:yVal>
            <c:numRef>
              <c:f>Inherent_Risk_Scores!$C$7</c:f>
              <c:numCache>
                <c:formatCode>General</c:formatCode>
                <c:ptCount val="1"/>
                <c:pt idx="0">
                  <c:v>0</c:v>
                </c:pt>
              </c:numCache>
            </c:numRef>
          </c:yVal>
          <c:smooth val="0"/>
        </c:ser>
        <c:ser>
          <c:idx val="6"/>
          <c:order val="6"/>
          <c:tx>
            <c:strRef>
              <c:f>Inherent_Risk_Scores!$B$8</c:f>
              <c:strCache>
                <c:ptCount val="1"/>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Y"/>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xVal>
            <c:numRef>
              <c:f>Inherent_Risk_Scores!$D$8</c:f>
            </c:numRef>
          </c:xVal>
          <c:yVal>
            <c:numRef>
              <c:f>Inherent_Risk_Scores!$C$8</c:f>
              <c:numCache>
                <c:formatCode>General</c:formatCode>
                <c:ptCount val="1"/>
                <c:pt idx="0">
                  <c:v>0</c:v>
                </c:pt>
              </c:numCache>
            </c:numRef>
          </c:yVal>
          <c:smooth val="0"/>
        </c:ser>
        <c:ser>
          <c:idx val="7"/>
          <c:order val="7"/>
          <c:tx>
            <c:strRef>
              <c:f>Inherent_Risk_Scores!$B$9</c:f>
              <c:strCache>
                <c:ptCount val="1"/>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Y"/>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xVal>
            <c:numRef>
              <c:f>Inherent_Risk_Scores!$D$9</c:f>
            </c:numRef>
          </c:xVal>
          <c:yVal>
            <c:numRef>
              <c:f>Inherent_Risk_Scores!$C$9</c:f>
              <c:numCache>
                <c:formatCode>General</c:formatCode>
                <c:ptCount val="1"/>
                <c:pt idx="0">
                  <c:v>0</c:v>
                </c:pt>
              </c:numCache>
            </c:numRef>
          </c:yVal>
          <c:smooth val="0"/>
        </c:ser>
        <c:ser>
          <c:idx val="8"/>
          <c:order val="8"/>
          <c:tx>
            <c:strRef>
              <c:f>Inherent_Risk_Scores!$B$10</c:f>
              <c:strCache>
                <c:ptCount val="1"/>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Y"/>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xVal>
            <c:numRef>
              <c:f>Inherent_Risk_Scores!$D$10</c:f>
            </c:numRef>
          </c:xVal>
          <c:yVal>
            <c:numRef>
              <c:f>Inherent_Risk_Scores!$C$10</c:f>
              <c:numCache>
                <c:formatCode>General</c:formatCode>
                <c:ptCount val="1"/>
                <c:pt idx="0">
                  <c:v>0</c:v>
                </c:pt>
              </c:numCache>
            </c:numRef>
          </c:yVal>
          <c:smooth val="0"/>
        </c:ser>
        <c:ser>
          <c:idx val="9"/>
          <c:order val="9"/>
          <c:tx>
            <c:strRef>
              <c:f>Inherent_Risk_Scores!$B$11</c:f>
              <c:strCache>
                <c:ptCount val="1"/>
              </c:strCache>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Y"/>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xVal>
            <c:numRef>
              <c:f>Inherent_Risk_Scores!$D$11</c:f>
            </c:numRef>
          </c:xVal>
          <c:yVal>
            <c:numRef>
              <c:f>Inherent_Risk_Scores!$C$11</c:f>
              <c:numCache>
                <c:formatCode>General</c:formatCode>
                <c:ptCount val="1"/>
                <c:pt idx="0">
                  <c:v>0</c:v>
                </c:pt>
              </c:numCache>
            </c:numRef>
          </c:yVal>
          <c:smooth val="0"/>
        </c:ser>
        <c:ser>
          <c:idx val="10"/>
          <c:order val="10"/>
          <c:tx>
            <c:strRef>
              <c:f>Inherent_Risk_Scores!$B$12</c:f>
              <c:strCache>
                <c:ptCount val="1"/>
              </c:strCache>
            </c:strRef>
          </c:tx>
          <c:spPr>
            <a:ln w="25400" cap="rnd">
              <a:noFill/>
              <a:round/>
            </a:ln>
            <a:effectLst/>
          </c:spPr>
          <c:marker>
            <c:symbol val="circle"/>
            <c:size val="5"/>
            <c:spPr>
              <a:solidFill>
                <a:schemeClr val="accent5">
                  <a:lumMod val="60000"/>
                </a:schemeClr>
              </a:solidFill>
              <a:ln w="9525">
                <a:solidFill>
                  <a:schemeClr val="accent5">
                    <a:lumMod val="60000"/>
                  </a:schemeClr>
                </a:solidFill>
              </a:ln>
              <a:effectLst/>
            </c:spPr>
          </c:marker>
          <c:dLbls>
            <c:delete val="1"/>
          </c:dLbls>
          <c:yVal>
            <c:numRef>
              <c:f>Inherent_Risk_Scores!$C$12</c:f>
              <c:numCache>
                <c:formatCode>General</c:formatCode>
                <c:ptCount val="1"/>
                <c:pt idx="0">
                  <c:v>0</c:v>
                </c:pt>
              </c:numCache>
            </c:numRef>
          </c:yVal>
          <c:smooth val="0"/>
        </c:ser>
        <c:dLbls>
          <c:dLblPos val="r"/>
          <c:showLegendKey val="0"/>
          <c:showVal val="1"/>
          <c:showCatName val="0"/>
          <c:showSerName val="0"/>
          <c:showPercent val="0"/>
          <c:showBubbleSize val="0"/>
        </c:dLbls>
        <c:axId val="1898463216"/>
        <c:axId val="1898464304"/>
      </c:scatterChart>
      <c:valAx>
        <c:axId val="1898463216"/>
        <c:scaling>
          <c:orientation val="minMax"/>
          <c:max val="5"/>
          <c:min val="0"/>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t>Impact</a:t>
                </a:r>
              </a:p>
            </c:rich>
          </c:tx>
          <c:layout>
            <c:manualLayout>
              <c:xMode val="edge"/>
              <c:yMode val="edge"/>
              <c:x val="0.40260243204893503"/>
              <c:y val="0.9062651054160397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SY"/>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Y"/>
          </a:p>
        </c:txPr>
        <c:crossAx val="1898464304"/>
        <c:crosses val="autoZero"/>
        <c:crossBetween val="midCat"/>
        <c:majorUnit val="1"/>
        <c:minorUnit val="1"/>
      </c:valAx>
      <c:valAx>
        <c:axId val="1898464304"/>
        <c:scaling>
          <c:orientation val="minMax"/>
          <c:max val="5"/>
        </c:scaling>
        <c:delete val="0"/>
        <c:axPos val="l"/>
        <c:majorGridlines>
          <c:spPr>
            <a:ln w="9525" cap="flat" cmpd="sng" algn="ctr">
              <a:gradFill>
                <a:gsLst>
                  <a:gs pos="15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Likelihood</a:t>
                </a:r>
              </a:p>
            </c:rich>
          </c:tx>
          <c:layout>
            <c:manualLayout>
              <c:xMode val="edge"/>
              <c:yMode val="edge"/>
              <c:x val="7.8761662145173036E-2"/>
              <c:y val="0.38808959121073722"/>
            </c:manualLayout>
          </c:layout>
          <c:overlay val="0"/>
          <c:spPr>
            <a:noFill/>
            <a:ln cap="flat">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ar-SY"/>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Y"/>
          </a:p>
        </c:txPr>
        <c:crossAx val="1898463216"/>
        <c:crosses val="autoZero"/>
        <c:crossBetween val="midCat"/>
        <c:majorUnit val="1"/>
        <c:minorUnit val="1"/>
      </c:valAx>
      <c:spPr>
        <a:blipFill>
          <a:blip xmlns:r="http://schemas.openxmlformats.org/officeDocument/2006/relationships" r:embed="rId3"/>
          <a:stretch>
            <a:fillRect/>
          </a:stretch>
        </a:blipFill>
        <a:ln w="0" cap="flat">
          <a:solidFill>
            <a:schemeClr val="bg1"/>
          </a:solidFill>
          <a:bevel/>
        </a:ln>
        <a:effectLst/>
      </c:spPr>
    </c:plotArea>
    <c:plotVisOnly val="1"/>
    <c:dispBlanksAs val="gap"/>
    <c:showDLblsOverMax val="0"/>
  </c:chart>
  <c:spPr>
    <a:noFill/>
    <a:ln w="9525" cap="flat" cmpd="sng" algn="ctr">
      <a:noFill/>
      <a:round/>
    </a:ln>
    <a:effectLst/>
  </c:spPr>
  <c:txPr>
    <a:bodyPr/>
    <a:lstStyle/>
    <a:p>
      <a:pPr>
        <a:defRPr/>
      </a:pPr>
      <a:endParaRPr lang="ar-SY"/>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175260</xdr:colOff>
      <xdr:row>1</xdr:row>
      <xdr:rowOff>274320</xdr:rowOff>
    </xdr:from>
    <xdr:to>
      <xdr:col>11</xdr:col>
      <xdr:colOff>302220</xdr:colOff>
      <xdr:row>8</xdr:row>
      <xdr:rowOff>76200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O135"/>
  <sheetViews>
    <sheetView topLeftCell="A112" workbookViewId="0"/>
  </sheetViews>
  <sheetFormatPr defaultRowHeight="13.8" x14ac:dyDescent="0.25"/>
  <cols>
    <col min="1" max="1" width="24" style="3" customWidth="1"/>
    <col min="2" max="5" width="24" customWidth="1"/>
    <col min="6" max="6" width="27.69921875" bestFit="1" customWidth="1"/>
    <col min="7" max="8" width="24" customWidth="1"/>
  </cols>
  <sheetData>
    <row r="1" spans="1:15" ht="15" x14ac:dyDescent="0.25">
      <c r="A1" s="61"/>
      <c r="B1" s="6"/>
      <c r="C1" s="7"/>
      <c r="D1" s="7"/>
      <c r="E1" s="7"/>
      <c r="F1" s="8"/>
      <c r="G1" s="8"/>
      <c r="H1" s="7"/>
      <c r="I1" s="7"/>
      <c r="J1" s="7"/>
      <c r="K1" s="7"/>
      <c r="L1" s="7"/>
      <c r="M1" s="7"/>
      <c r="N1" s="7"/>
      <c r="O1" s="6"/>
    </row>
    <row r="2" spans="1:15" ht="17.399999999999999" x14ac:dyDescent="0.3">
      <c r="A2" s="61"/>
      <c r="B2" s="9"/>
      <c r="C2" s="7"/>
      <c r="D2" s="7"/>
      <c r="E2" s="7"/>
      <c r="F2" s="8"/>
      <c r="G2" s="8"/>
      <c r="H2" s="7"/>
      <c r="I2" s="7"/>
      <c r="J2" s="7"/>
      <c r="K2" s="7"/>
      <c r="L2" s="7"/>
      <c r="M2" s="7"/>
      <c r="N2" s="7"/>
      <c r="O2" s="6"/>
    </row>
    <row r="3" spans="1:15" ht="21" x14ac:dyDescent="0.4">
      <c r="A3" s="97" t="s">
        <v>73</v>
      </c>
      <c r="B3" s="98"/>
      <c r="C3" s="98"/>
      <c r="D3" s="98"/>
      <c r="E3" s="98"/>
      <c r="F3" s="98"/>
      <c r="G3" s="98"/>
      <c r="H3" s="98"/>
      <c r="I3" s="98"/>
      <c r="J3" s="98"/>
      <c r="K3" s="98"/>
      <c r="L3" s="98"/>
      <c r="M3" s="98"/>
      <c r="N3" s="98"/>
      <c r="O3" s="98"/>
    </row>
    <row r="4" spans="1:15" ht="21" x14ac:dyDescent="0.4">
      <c r="A4" s="97" t="s">
        <v>145</v>
      </c>
      <c r="B4" s="98"/>
      <c r="C4" s="98"/>
      <c r="D4" s="98"/>
      <c r="E4" s="98"/>
      <c r="F4" s="98"/>
      <c r="G4" s="98"/>
      <c r="H4" s="98"/>
      <c r="I4" s="98"/>
      <c r="J4" s="98"/>
      <c r="K4" s="98"/>
      <c r="L4" s="98"/>
      <c r="M4" s="98"/>
      <c r="N4" s="98"/>
      <c r="O4" s="98"/>
    </row>
    <row r="5" spans="1:15" ht="15" x14ac:dyDescent="0.25">
      <c r="A5" s="28" t="s">
        <v>74</v>
      </c>
      <c r="B5" s="10"/>
      <c r="C5" s="11"/>
      <c r="D5" s="6"/>
      <c r="E5" s="6"/>
      <c r="F5" s="65" t="s">
        <v>146</v>
      </c>
      <c r="G5" s="12"/>
      <c r="H5" s="6"/>
      <c r="I5" s="6"/>
      <c r="J5" s="6"/>
      <c r="K5" s="6"/>
      <c r="L5" s="6"/>
      <c r="M5" s="6"/>
      <c r="N5" s="6"/>
      <c r="O5" s="6"/>
    </row>
    <row r="6" spans="1:15" ht="15" x14ac:dyDescent="0.25">
      <c r="A6" s="28" t="s">
        <v>78</v>
      </c>
      <c r="B6" s="10"/>
      <c r="C6" s="11"/>
      <c r="D6" s="6"/>
      <c r="E6" s="6"/>
      <c r="F6" s="64" t="s">
        <v>151</v>
      </c>
      <c r="G6" s="12"/>
      <c r="H6" s="6"/>
      <c r="I6" s="6"/>
      <c r="J6" s="6"/>
      <c r="K6" s="6"/>
      <c r="L6" s="6"/>
      <c r="M6" s="6"/>
      <c r="N6" s="6"/>
      <c r="O6" s="6"/>
    </row>
    <row r="7" spans="1:15" ht="15" x14ac:dyDescent="0.25">
      <c r="A7" s="28" t="s">
        <v>75</v>
      </c>
      <c r="B7" s="13"/>
      <c r="C7" s="11"/>
      <c r="D7" s="6"/>
      <c r="E7" s="6"/>
      <c r="F7" s="12"/>
      <c r="G7" s="12"/>
      <c r="H7" s="6"/>
      <c r="I7" s="6"/>
      <c r="J7" s="6"/>
      <c r="K7" s="6"/>
      <c r="L7" s="6"/>
      <c r="M7" s="6"/>
      <c r="N7" s="6"/>
      <c r="O7" s="6"/>
    </row>
    <row r="8" spans="1:15" ht="15" x14ac:dyDescent="0.25">
      <c r="A8" s="28" t="s">
        <v>76</v>
      </c>
      <c r="B8" s="14"/>
      <c r="C8" s="11"/>
      <c r="D8" s="6"/>
      <c r="E8" s="6"/>
      <c r="F8" s="12"/>
      <c r="G8" s="12"/>
      <c r="H8" s="6"/>
      <c r="I8" s="6"/>
      <c r="J8" s="6"/>
      <c r="K8" s="6"/>
      <c r="L8" s="6"/>
      <c r="M8" s="6"/>
      <c r="N8" s="6"/>
      <c r="O8" s="6"/>
    </row>
    <row r="9" spans="1:15" ht="27.6" x14ac:dyDescent="0.25">
      <c r="A9" s="28" t="s">
        <v>77</v>
      </c>
      <c r="B9" s="14"/>
      <c r="C9" s="11"/>
      <c r="D9" s="6"/>
      <c r="E9" s="6"/>
      <c r="F9" s="12"/>
      <c r="G9" s="12"/>
      <c r="H9" s="6"/>
      <c r="I9" s="6"/>
      <c r="J9" s="6"/>
      <c r="K9" s="6"/>
      <c r="L9" s="6"/>
      <c r="M9" s="6"/>
      <c r="N9" s="6"/>
      <c r="O9" s="6"/>
    </row>
    <row r="10" spans="1:15" ht="15" x14ac:dyDescent="0.25">
      <c r="A10" s="27"/>
      <c r="B10" s="6"/>
      <c r="C10" s="15"/>
      <c r="D10" s="6"/>
      <c r="E10" s="6"/>
      <c r="F10" s="12"/>
      <c r="G10" s="12"/>
      <c r="H10" s="6"/>
      <c r="I10" s="6"/>
      <c r="J10" s="6"/>
      <c r="K10" s="6"/>
      <c r="L10" s="6"/>
      <c r="M10" s="6"/>
      <c r="N10" s="6"/>
      <c r="O10" s="6"/>
    </row>
    <row r="11" spans="1:15" ht="15" x14ac:dyDescent="0.25">
      <c r="A11" s="27"/>
      <c r="B11" s="6"/>
      <c r="C11" s="15"/>
      <c r="D11" s="6"/>
      <c r="E11" s="6"/>
      <c r="F11" s="12"/>
      <c r="G11" s="12"/>
      <c r="H11" s="6"/>
      <c r="I11" s="6"/>
      <c r="J11" s="6"/>
      <c r="K11" s="6"/>
      <c r="L11" s="6"/>
      <c r="M11" s="6"/>
      <c r="N11" s="6"/>
      <c r="O11" s="6"/>
    </row>
    <row r="12" spans="1:15" ht="15" customHeight="1" x14ac:dyDescent="0.25">
      <c r="A12" s="100" t="s">
        <v>0</v>
      </c>
      <c r="B12" s="101"/>
      <c r="C12" s="101"/>
      <c r="D12" s="101"/>
      <c r="E12" s="101"/>
      <c r="F12" s="101"/>
      <c r="G12" s="101"/>
      <c r="H12" s="102"/>
    </row>
    <row r="13" spans="1:15" ht="15" customHeight="1" x14ac:dyDescent="0.25">
      <c r="A13" s="100"/>
      <c r="B13" s="101"/>
      <c r="C13" s="101"/>
      <c r="D13" s="101"/>
      <c r="E13" s="101"/>
      <c r="F13" s="101"/>
      <c r="G13" s="101"/>
      <c r="H13" s="102"/>
    </row>
    <row r="14" spans="1:15" ht="15" customHeight="1" x14ac:dyDescent="0.25">
      <c r="A14" s="100"/>
      <c r="B14" s="101"/>
      <c r="C14" s="101"/>
      <c r="D14" s="101"/>
      <c r="E14" s="101"/>
      <c r="F14" s="101"/>
      <c r="G14" s="101"/>
      <c r="H14" s="102"/>
    </row>
    <row r="15" spans="1:15" ht="16.2" customHeight="1" x14ac:dyDescent="0.25">
      <c r="A15" s="100"/>
      <c r="B15" s="101"/>
      <c r="C15" s="101"/>
      <c r="D15" s="101"/>
      <c r="E15" s="101"/>
      <c r="F15" s="101"/>
      <c r="G15" s="101"/>
      <c r="H15" s="102"/>
    </row>
    <row r="16" spans="1:15" s="16" customFormat="1" x14ac:dyDescent="0.25">
      <c r="A16" s="99" t="s">
        <v>1</v>
      </c>
      <c r="B16" s="93"/>
      <c r="C16" s="93"/>
      <c r="D16" s="93"/>
      <c r="E16" s="93"/>
      <c r="F16" s="93"/>
      <c r="G16" s="93"/>
    </row>
    <row r="17" spans="1:8" s="16" customFormat="1" x14ac:dyDescent="0.25">
      <c r="A17" s="99"/>
      <c r="B17" s="93"/>
      <c r="C17" s="93"/>
      <c r="D17" s="93"/>
      <c r="E17" s="93"/>
      <c r="F17" s="93"/>
      <c r="G17" s="93"/>
    </row>
    <row r="18" spans="1:8" s="16" customFormat="1" x14ac:dyDescent="0.25">
      <c r="A18" s="99"/>
      <c r="B18" s="93"/>
      <c r="C18" s="93"/>
      <c r="D18" s="93"/>
      <c r="E18" s="93"/>
      <c r="F18" s="93"/>
      <c r="G18" s="93"/>
    </row>
    <row r="19" spans="1:8" s="16" customFormat="1" x14ac:dyDescent="0.25">
      <c r="A19" s="99"/>
      <c r="B19" s="93"/>
      <c r="C19" s="93"/>
      <c r="D19" s="93"/>
      <c r="E19" s="93"/>
      <c r="F19" s="93"/>
      <c r="G19" s="93"/>
    </row>
    <row r="20" spans="1:8" s="16" customFormat="1" x14ac:dyDescent="0.25">
      <c r="A20" s="99" t="s">
        <v>2</v>
      </c>
      <c r="B20" s="93"/>
      <c r="C20" s="93"/>
      <c r="D20" s="93"/>
      <c r="E20" s="93"/>
      <c r="F20" s="93"/>
      <c r="G20" s="93"/>
    </row>
    <row r="21" spans="1:8" s="16" customFormat="1" x14ac:dyDescent="0.25">
      <c r="A21" s="99"/>
      <c r="B21" s="93"/>
      <c r="C21" s="93"/>
      <c r="D21" s="93"/>
      <c r="E21" s="93"/>
      <c r="F21" s="93"/>
      <c r="G21" s="93"/>
    </row>
    <row r="22" spans="1:8" s="16" customFormat="1" x14ac:dyDescent="0.25">
      <c r="A22" s="99"/>
      <c r="B22" s="93"/>
      <c r="C22" s="93"/>
      <c r="D22" s="93"/>
      <c r="E22" s="93"/>
      <c r="F22" s="93"/>
      <c r="G22" s="93"/>
    </row>
    <row r="23" spans="1:8" s="16" customFormat="1" x14ac:dyDescent="0.25">
      <c r="A23" s="99"/>
      <c r="B23" s="93"/>
      <c r="C23" s="93"/>
      <c r="D23" s="93"/>
      <c r="E23" s="93"/>
      <c r="F23" s="93"/>
      <c r="G23" s="93"/>
    </row>
    <row r="24" spans="1:8" s="63" customFormat="1" x14ac:dyDescent="0.25">
      <c r="A24" s="96" t="s">
        <v>3</v>
      </c>
      <c r="B24" s="93"/>
      <c r="C24" s="93"/>
      <c r="D24" s="93"/>
      <c r="E24" s="93"/>
      <c r="F24" s="93"/>
      <c r="G24" s="93"/>
    </row>
    <row r="25" spans="1:8" s="63" customFormat="1" x14ac:dyDescent="0.25">
      <c r="A25" s="96"/>
      <c r="B25" s="93"/>
      <c r="C25" s="93"/>
      <c r="D25" s="93"/>
      <c r="E25" s="93"/>
      <c r="F25" s="93"/>
      <c r="G25" s="93"/>
    </row>
    <row r="26" spans="1:8" s="63" customFormat="1" x14ac:dyDescent="0.25">
      <c r="A26" s="96"/>
      <c r="B26" s="93"/>
      <c r="C26" s="93"/>
      <c r="D26" s="93"/>
      <c r="E26" s="93"/>
      <c r="F26" s="93"/>
      <c r="G26" s="93"/>
    </row>
    <row r="27" spans="1:8" s="63" customFormat="1" x14ac:dyDescent="0.25">
      <c r="A27" s="96" t="s">
        <v>4</v>
      </c>
      <c r="B27" s="93"/>
      <c r="C27" s="93"/>
      <c r="D27" s="93"/>
      <c r="E27" s="93"/>
      <c r="F27" s="93"/>
      <c r="G27" s="93"/>
    </row>
    <row r="28" spans="1:8" s="63" customFormat="1" x14ac:dyDescent="0.25">
      <c r="A28" s="96"/>
      <c r="B28" s="93"/>
      <c r="C28" s="93"/>
      <c r="D28" s="93"/>
      <c r="E28" s="93"/>
      <c r="F28" s="93"/>
      <c r="G28" s="93"/>
    </row>
    <row r="29" spans="1:8" s="63" customFormat="1" x14ac:dyDescent="0.25">
      <c r="A29" s="96"/>
      <c r="B29" s="93"/>
      <c r="C29" s="93"/>
      <c r="D29" s="93"/>
      <c r="E29" s="93"/>
      <c r="F29" s="93"/>
      <c r="G29" s="93"/>
    </row>
    <row r="30" spans="1:8" s="63" customFormat="1" x14ac:dyDescent="0.25">
      <c r="A30" s="96"/>
      <c r="B30" s="93"/>
      <c r="C30" s="93"/>
      <c r="D30" s="93"/>
      <c r="E30" s="93"/>
      <c r="F30" s="93"/>
      <c r="G30" s="93"/>
    </row>
    <row r="31" spans="1:8" s="63" customFormat="1" x14ac:dyDescent="0.25">
      <c r="A31" s="62"/>
      <c r="B31" s="66"/>
      <c r="C31" s="66"/>
      <c r="D31" s="66"/>
      <c r="E31" s="66"/>
      <c r="F31" s="66"/>
      <c r="G31" s="66"/>
    </row>
    <row r="32" spans="1:8" ht="13.8" customHeight="1" x14ac:dyDescent="0.25">
      <c r="A32" s="96" t="s">
        <v>100</v>
      </c>
      <c r="B32" s="94" t="s">
        <v>104</v>
      </c>
      <c r="C32" s="94"/>
      <c r="D32" s="94"/>
      <c r="E32" s="94"/>
      <c r="F32" s="94"/>
      <c r="G32" s="94"/>
      <c r="H32" s="25"/>
    </row>
    <row r="33" spans="1:8" ht="15.6" customHeight="1" x14ac:dyDescent="0.25">
      <c r="A33" s="96"/>
      <c r="B33" s="94"/>
      <c r="C33" s="94"/>
      <c r="D33" s="94"/>
      <c r="E33" s="94"/>
      <c r="F33" s="94"/>
      <c r="G33" s="94"/>
      <c r="H33" s="25"/>
    </row>
    <row r="34" spans="1:8" ht="15.6" customHeight="1" x14ac:dyDescent="0.25">
      <c r="A34" s="96"/>
      <c r="B34" s="94"/>
      <c r="C34" s="94"/>
      <c r="D34" s="94"/>
      <c r="E34" s="94"/>
      <c r="F34" s="94"/>
      <c r="G34" s="94"/>
      <c r="H34" s="25"/>
    </row>
    <row r="35" spans="1:8" x14ac:dyDescent="0.25">
      <c r="A35" s="96"/>
      <c r="B35" s="94"/>
      <c r="C35" s="94"/>
      <c r="D35" s="94"/>
      <c r="E35" s="94"/>
      <c r="F35" s="94"/>
      <c r="G35" s="94"/>
      <c r="H35" s="25"/>
    </row>
    <row r="36" spans="1:8" x14ac:dyDescent="0.25">
      <c r="A36" s="96"/>
      <c r="B36" s="94"/>
      <c r="C36" s="94"/>
      <c r="D36" s="94"/>
      <c r="E36" s="94"/>
      <c r="F36" s="94"/>
      <c r="G36" s="94"/>
      <c r="H36" s="25"/>
    </row>
    <row r="37" spans="1:8" ht="13.8" customHeight="1" x14ac:dyDescent="0.25">
      <c r="A37" s="96"/>
      <c r="B37" s="94" t="s">
        <v>102</v>
      </c>
      <c r="C37" s="94"/>
      <c r="D37" s="94"/>
      <c r="E37" s="94"/>
      <c r="F37" s="94"/>
      <c r="G37" s="94"/>
      <c r="H37" s="25"/>
    </row>
    <row r="38" spans="1:8" x14ac:dyDescent="0.25">
      <c r="A38" s="96"/>
      <c r="B38" s="94"/>
      <c r="C38" s="94"/>
      <c r="D38" s="94"/>
      <c r="E38" s="94"/>
      <c r="F38" s="94"/>
      <c r="G38" s="94"/>
      <c r="H38" s="25"/>
    </row>
    <row r="39" spans="1:8" x14ac:dyDescent="0.25">
      <c r="A39" s="96"/>
      <c r="B39" s="94"/>
      <c r="C39" s="94"/>
      <c r="D39" s="94"/>
      <c r="E39" s="94"/>
      <c r="F39" s="94"/>
      <c r="G39" s="94"/>
      <c r="H39" s="25"/>
    </row>
    <row r="40" spans="1:8" x14ac:dyDescent="0.25">
      <c r="A40" s="96"/>
      <c r="B40" s="94"/>
      <c r="C40" s="94"/>
      <c r="D40" s="94"/>
      <c r="E40" s="94"/>
      <c r="F40" s="94"/>
      <c r="G40" s="94"/>
      <c r="H40" s="25"/>
    </row>
    <row r="41" spans="1:8" x14ac:dyDescent="0.25">
      <c r="A41" s="96"/>
      <c r="B41" s="94"/>
      <c r="C41" s="94"/>
      <c r="D41" s="94"/>
      <c r="E41" s="94"/>
      <c r="F41" s="94"/>
      <c r="G41" s="94"/>
      <c r="H41" s="25"/>
    </row>
    <row r="42" spans="1:8" x14ac:dyDescent="0.25">
      <c r="A42" s="96"/>
      <c r="B42" s="94"/>
      <c r="C42" s="94"/>
      <c r="D42" s="94"/>
      <c r="E42" s="94"/>
      <c r="F42" s="94"/>
      <c r="G42" s="94"/>
      <c r="H42" s="25"/>
    </row>
    <row r="43" spans="1:8" x14ac:dyDescent="0.25">
      <c r="A43" s="96"/>
      <c r="B43" s="94"/>
      <c r="C43" s="94"/>
      <c r="D43" s="94"/>
      <c r="E43" s="94"/>
      <c r="F43" s="94"/>
      <c r="G43" s="94"/>
      <c r="H43" s="25"/>
    </row>
    <row r="44" spans="1:8" x14ac:dyDescent="0.25">
      <c r="A44" s="96"/>
      <c r="B44" s="94"/>
      <c r="C44" s="94"/>
      <c r="D44" s="94"/>
      <c r="E44" s="94"/>
      <c r="F44" s="94"/>
      <c r="G44" s="94"/>
      <c r="H44" s="25"/>
    </row>
    <row r="45" spans="1:8" x14ac:dyDescent="0.25">
      <c r="A45" s="96"/>
      <c r="B45" s="94"/>
      <c r="C45" s="94"/>
      <c r="D45" s="94"/>
      <c r="E45" s="94"/>
      <c r="F45" s="94"/>
      <c r="G45" s="94"/>
      <c r="H45" s="25"/>
    </row>
    <row r="46" spans="1:8" x14ac:dyDescent="0.25">
      <c r="A46" s="96"/>
      <c r="B46" s="94"/>
      <c r="C46" s="94"/>
      <c r="D46" s="94"/>
      <c r="E46" s="94"/>
      <c r="F46" s="94"/>
      <c r="G46" s="94"/>
      <c r="H46" s="25"/>
    </row>
    <row r="47" spans="1:8" x14ac:dyDescent="0.25">
      <c r="A47" s="96"/>
      <c r="B47" s="94"/>
      <c r="C47" s="94"/>
      <c r="D47" s="94"/>
      <c r="E47" s="94"/>
      <c r="F47" s="94"/>
      <c r="G47" s="94"/>
      <c r="H47" s="25"/>
    </row>
    <row r="48" spans="1:8" x14ac:dyDescent="0.25">
      <c r="A48" s="96"/>
      <c r="B48" s="94"/>
      <c r="C48" s="94"/>
      <c r="D48" s="94"/>
      <c r="E48" s="94"/>
      <c r="F48" s="94"/>
      <c r="G48" s="94"/>
      <c r="H48" s="25"/>
    </row>
    <row r="49" spans="1:8" x14ac:dyDescent="0.25">
      <c r="A49" s="96"/>
      <c r="B49" s="94"/>
      <c r="C49" s="94"/>
      <c r="D49" s="94"/>
      <c r="E49" s="94"/>
      <c r="F49" s="94"/>
      <c r="G49" s="94"/>
      <c r="H49" s="25"/>
    </row>
    <row r="50" spans="1:8" x14ac:dyDescent="0.25">
      <c r="A50" s="96"/>
      <c r="B50" s="94"/>
      <c r="C50" s="94"/>
      <c r="D50" s="94"/>
      <c r="E50" s="94"/>
      <c r="F50" s="94"/>
      <c r="G50" s="94"/>
      <c r="H50" s="25"/>
    </row>
    <row r="51" spans="1:8" x14ac:dyDescent="0.25">
      <c r="A51" s="96"/>
      <c r="B51" s="94"/>
      <c r="C51" s="94"/>
      <c r="D51" s="94"/>
      <c r="E51" s="94"/>
      <c r="F51" s="94"/>
      <c r="G51" s="94"/>
      <c r="H51" s="25"/>
    </row>
    <row r="52" spans="1:8" ht="13.8" customHeight="1" x14ac:dyDescent="0.25">
      <c r="A52" s="96"/>
      <c r="B52" s="94" t="s">
        <v>103</v>
      </c>
      <c r="C52" s="94"/>
      <c r="D52" s="94"/>
      <c r="E52" s="94"/>
      <c r="F52" s="94"/>
      <c r="G52" s="94"/>
      <c r="H52" s="25"/>
    </row>
    <row r="53" spans="1:8" x14ac:dyDescent="0.25">
      <c r="A53" s="96"/>
      <c r="B53" s="94"/>
      <c r="C53" s="94"/>
      <c r="D53" s="94"/>
      <c r="E53" s="94"/>
      <c r="F53" s="94"/>
      <c r="G53" s="94"/>
      <c r="H53" s="25"/>
    </row>
    <row r="54" spans="1:8" x14ac:dyDescent="0.25">
      <c r="A54" s="96"/>
      <c r="B54" s="94"/>
      <c r="C54" s="94"/>
      <c r="D54" s="94"/>
      <c r="E54" s="94"/>
      <c r="F54" s="94"/>
      <c r="G54" s="94"/>
      <c r="H54" s="25"/>
    </row>
    <row r="55" spans="1:8" x14ac:dyDescent="0.25">
      <c r="A55" s="96"/>
      <c r="B55" s="94"/>
      <c r="C55" s="94"/>
      <c r="D55" s="94"/>
      <c r="E55" s="94"/>
      <c r="F55" s="94"/>
      <c r="G55" s="94"/>
      <c r="H55" s="25"/>
    </row>
    <row r="56" spans="1:8" x14ac:dyDescent="0.25">
      <c r="A56" s="96"/>
      <c r="B56" s="94"/>
      <c r="C56" s="94"/>
      <c r="D56" s="94"/>
      <c r="E56" s="94"/>
      <c r="F56" s="94"/>
      <c r="G56" s="94"/>
      <c r="H56" s="25"/>
    </row>
    <row r="57" spans="1:8" x14ac:dyDescent="0.25">
      <c r="A57" s="96"/>
      <c r="B57" s="94"/>
      <c r="C57" s="94"/>
      <c r="D57" s="94"/>
      <c r="E57" s="94"/>
      <c r="F57" s="94"/>
      <c r="G57" s="94"/>
      <c r="H57" s="25"/>
    </row>
    <row r="58" spans="1:8" x14ac:dyDescent="0.25">
      <c r="A58" s="96"/>
      <c r="B58" s="94"/>
      <c r="C58" s="94"/>
      <c r="D58" s="94"/>
      <c r="E58" s="94"/>
      <c r="F58" s="94"/>
      <c r="G58" s="94"/>
      <c r="H58" s="25"/>
    </row>
    <row r="59" spans="1:8" x14ac:dyDescent="0.25">
      <c r="A59" s="96"/>
      <c r="B59" s="94"/>
      <c r="C59" s="94"/>
      <c r="D59" s="94"/>
      <c r="E59" s="94"/>
      <c r="F59" s="94"/>
      <c r="G59" s="94"/>
      <c r="H59" s="25"/>
    </row>
    <row r="60" spans="1:8" x14ac:dyDescent="0.25">
      <c r="A60" s="96"/>
      <c r="B60" s="94"/>
      <c r="C60" s="94"/>
      <c r="D60" s="94"/>
      <c r="E60" s="94"/>
      <c r="F60" s="94"/>
      <c r="G60" s="94"/>
      <c r="H60" s="25"/>
    </row>
    <row r="61" spans="1:8" x14ac:dyDescent="0.25">
      <c r="A61" s="96"/>
      <c r="B61" s="94"/>
      <c r="C61" s="94"/>
      <c r="D61" s="94"/>
      <c r="E61" s="94"/>
      <c r="F61" s="94"/>
      <c r="G61" s="94"/>
      <c r="H61" s="25"/>
    </row>
    <row r="62" spans="1:8" x14ac:dyDescent="0.25">
      <c r="A62" s="96"/>
      <c r="B62" s="94"/>
      <c r="C62" s="94"/>
      <c r="D62" s="94"/>
      <c r="E62" s="94"/>
      <c r="F62" s="94"/>
      <c r="G62" s="94"/>
      <c r="H62" s="25"/>
    </row>
    <row r="63" spans="1:8" x14ac:dyDescent="0.25">
      <c r="A63" s="96"/>
      <c r="B63" s="94"/>
      <c r="C63" s="94"/>
      <c r="D63" s="94"/>
      <c r="E63" s="94"/>
      <c r="F63" s="94"/>
      <c r="G63" s="94"/>
      <c r="H63" s="25"/>
    </row>
    <row r="64" spans="1:8" x14ac:dyDescent="0.25">
      <c r="A64" s="96"/>
      <c r="B64" s="94"/>
      <c r="C64" s="94"/>
      <c r="D64" s="94"/>
      <c r="E64" s="94"/>
      <c r="F64" s="94"/>
      <c r="G64" s="94"/>
      <c r="H64" s="25"/>
    </row>
    <row r="65" spans="1:8" x14ac:dyDescent="0.25">
      <c r="A65" s="96"/>
      <c r="B65" s="94"/>
      <c r="C65" s="94"/>
      <c r="D65" s="94"/>
      <c r="E65" s="94"/>
      <c r="F65" s="94"/>
      <c r="G65" s="94"/>
      <c r="H65" s="25"/>
    </row>
    <row r="66" spans="1:8" x14ac:dyDescent="0.25">
      <c r="A66" s="96"/>
      <c r="B66" s="94"/>
      <c r="C66" s="94"/>
      <c r="D66" s="94"/>
      <c r="E66" s="94"/>
      <c r="F66" s="94"/>
      <c r="G66" s="94"/>
      <c r="H66" s="25"/>
    </row>
    <row r="67" spans="1:8" ht="13.8" customHeight="1" x14ac:dyDescent="0.25">
      <c r="A67" s="96"/>
      <c r="B67" s="94" t="s">
        <v>105</v>
      </c>
      <c r="C67" s="94"/>
      <c r="D67" s="94"/>
      <c r="E67" s="94"/>
      <c r="F67" s="94"/>
      <c r="G67" s="94"/>
      <c r="H67" s="25"/>
    </row>
    <row r="68" spans="1:8" x14ac:dyDescent="0.25">
      <c r="A68" s="96"/>
      <c r="B68" s="94"/>
      <c r="C68" s="94"/>
      <c r="D68" s="94"/>
      <c r="E68" s="94"/>
      <c r="F68" s="94"/>
      <c r="G68" s="94"/>
      <c r="H68" s="25"/>
    </row>
    <row r="69" spans="1:8" x14ac:dyDescent="0.25">
      <c r="A69" s="96"/>
      <c r="B69" s="94"/>
      <c r="C69" s="94"/>
      <c r="D69" s="94"/>
      <c r="E69" s="94"/>
      <c r="F69" s="94"/>
      <c r="G69" s="94"/>
      <c r="H69" s="25"/>
    </row>
    <row r="70" spans="1:8" x14ac:dyDescent="0.25">
      <c r="A70" s="96"/>
      <c r="B70" s="94"/>
      <c r="C70" s="94"/>
      <c r="D70" s="94"/>
      <c r="E70" s="94"/>
      <c r="F70" s="94"/>
      <c r="G70" s="94"/>
      <c r="H70" s="25"/>
    </row>
    <row r="71" spans="1:8" x14ac:dyDescent="0.25">
      <c r="A71" s="96"/>
      <c r="B71" s="94"/>
      <c r="C71" s="94"/>
      <c r="D71" s="94"/>
      <c r="E71" s="94"/>
      <c r="F71" s="94"/>
      <c r="G71" s="94"/>
      <c r="H71" s="25"/>
    </row>
    <row r="72" spans="1:8" x14ac:dyDescent="0.25">
      <c r="A72" s="96"/>
      <c r="B72" s="94"/>
      <c r="C72" s="94"/>
      <c r="D72" s="94"/>
      <c r="E72" s="94"/>
      <c r="F72" s="94"/>
      <c r="G72" s="94"/>
      <c r="H72" s="25"/>
    </row>
    <row r="73" spans="1:8" x14ac:dyDescent="0.25">
      <c r="A73" s="96"/>
      <c r="B73" s="94"/>
      <c r="C73" s="94"/>
      <c r="D73" s="94"/>
      <c r="E73" s="94"/>
      <c r="F73" s="94"/>
      <c r="G73" s="94"/>
      <c r="H73" s="25"/>
    </row>
    <row r="74" spans="1:8" x14ac:dyDescent="0.25">
      <c r="A74" s="96"/>
      <c r="B74" s="94"/>
      <c r="C74" s="94"/>
      <c r="D74" s="94"/>
      <c r="E74" s="94"/>
      <c r="F74" s="94"/>
      <c r="G74" s="94"/>
      <c r="H74" s="25"/>
    </row>
    <row r="75" spans="1:8" x14ac:dyDescent="0.25">
      <c r="A75" s="96"/>
      <c r="B75" s="94"/>
      <c r="C75" s="94"/>
      <c r="D75" s="94"/>
      <c r="E75" s="94"/>
      <c r="F75" s="94"/>
      <c r="G75" s="94"/>
      <c r="H75" s="25"/>
    </row>
    <row r="76" spans="1:8" x14ac:dyDescent="0.25">
      <c r="A76" s="96"/>
      <c r="B76" s="94"/>
      <c r="C76" s="94"/>
      <c r="D76" s="94"/>
      <c r="E76" s="94"/>
      <c r="F76" s="94"/>
      <c r="G76" s="94"/>
      <c r="H76" s="25"/>
    </row>
    <row r="77" spans="1:8" x14ac:dyDescent="0.25">
      <c r="A77" s="96"/>
      <c r="B77" s="94"/>
      <c r="C77" s="94"/>
      <c r="D77" s="94"/>
      <c r="E77" s="94"/>
      <c r="F77" s="94"/>
      <c r="G77" s="94"/>
      <c r="H77" s="25"/>
    </row>
    <row r="78" spans="1:8" x14ac:dyDescent="0.25">
      <c r="A78" s="96"/>
      <c r="B78" s="94"/>
      <c r="C78" s="94"/>
      <c r="D78" s="94"/>
      <c r="E78" s="94"/>
      <c r="F78" s="94"/>
      <c r="G78" s="94"/>
      <c r="H78" s="25"/>
    </row>
    <row r="79" spans="1:8" x14ac:dyDescent="0.25">
      <c r="A79" s="96"/>
      <c r="B79" s="94"/>
      <c r="C79" s="94"/>
      <c r="D79" s="94"/>
      <c r="E79" s="94"/>
      <c r="F79" s="94"/>
      <c r="G79" s="94"/>
      <c r="H79" s="25"/>
    </row>
    <row r="80" spans="1:8" x14ac:dyDescent="0.25">
      <c r="A80" s="96"/>
      <c r="B80" s="94"/>
      <c r="C80" s="94"/>
      <c r="D80" s="94"/>
      <c r="E80" s="94"/>
      <c r="F80" s="94"/>
      <c r="G80" s="94"/>
      <c r="H80" s="25"/>
    </row>
    <row r="81" spans="1:8" x14ac:dyDescent="0.25">
      <c r="A81" s="96"/>
      <c r="B81" s="94"/>
      <c r="C81" s="94"/>
      <c r="D81" s="94"/>
      <c r="E81" s="94"/>
      <c r="F81" s="94"/>
      <c r="G81" s="94"/>
      <c r="H81" s="25"/>
    </row>
    <row r="82" spans="1:8" x14ac:dyDescent="0.25">
      <c r="A82" s="96"/>
      <c r="B82" s="94" t="s">
        <v>157</v>
      </c>
      <c r="C82" s="94"/>
      <c r="D82" s="94"/>
      <c r="E82" s="94"/>
      <c r="F82" s="94"/>
      <c r="G82" s="94"/>
      <c r="H82" s="25"/>
    </row>
    <row r="83" spans="1:8" x14ac:dyDescent="0.25">
      <c r="A83" s="96"/>
      <c r="B83" s="94"/>
      <c r="C83" s="94"/>
      <c r="D83" s="94"/>
      <c r="E83" s="94"/>
      <c r="F83" s="94"/>
      <c r="G83" s="94"/>
      <c r="H83" s="25"/>
    </row>
    <row r="84" spans="1:8" ht="13.8" customHeight="1" x14ac:dyDescent="0.25">
      <c r="A84" s="96"/>
      <c r="B84" s="94"/>
      <c r="C84" s="94"/>
      <c r="D84" s="94"/>
      <c r="E84" s="94"/>
      <c r="F84" s="94"/>
      <c r="G84" s="94"/>
      <c r="H84" s="25"/>
    </row>
    <row r="85" spans="1:8" x14ac:dyDescent="0.25">
      <c r="A85" s="96"/>
      <c r="B85" s="94"/>
      <c r="C85" s="94"/>
      <c r="D85" s="94"/>
      <c r="E85" s="94"/>
      <c r="F85" s="94"/>
      <c r="G85" s="94"/>
      <c r="H85" s="25"/>
    </row>
    <row r="86" spans="1:8" ht="13.8" customHeight="1" x14ac:dyDescent="0.25">
      <c r="A86" s="96"/>
      <c r="B86" s="94"/>
      <c r="C86" s="94"/>
      <c r="D86" s="94"/>
      <c r="E86" s="94"/>
      <c r="F86" s="94"/>
      <c r="G86" s="94"/>
      <c r="H86" s="25"/>
    </row>
    <row r="87" spans="1:8" x14ac:dyDescent="0.25">
      <c r="A87" s="96"/>
      <c r="B87" s="94"/>
      <c r="C87" s="94"/>
      <c r="D87" s="94"/>
      <c r="E87" s="94"/>
      <c r="F87" s="94"/>
      <c r="G87" s="94"/>
      <c r="H87" s="25"/>
    </row>
    <row r="88" spans="1:8" x14ac:dyDescent="0.25">
      <c r="A88" s="96"/>
      <c r="B88" s="94"/>
      <c r="C88" s="94"/>
      <c r="D88" s="94"/>
      <c r="E88" s="94"/>
      <c r="F88" s="94"/>
      <c r="G88" s="94"/>
      <c r="H88" s="25"/>
    </row>
    <row r="89" spans="1:8" x14ac:dyDescent="0.25">
      <c r="A89" s="96"/>
      <c r="B89" s="94"/>
      <c r="C89" s="94"/>
      <c r="D89" s="94"/>
      <c r="E89" s="94"/>
      <c r="F89" s="94"/>
      <c r="G89" s="94"/>
      <c r="H89" s="25"/>
    </row>
    <row r="90" spans="1:8" x14ac:dyDescent="0.25">
      <c r="A90" s="96"/>
      <c r="B90" s="94"/>
      <c r="C90" s="94"/>
      <c r="D90" s="94"/>
      <c r="E90" s="94"/>
      <c r="F90" s="94"/>
      <c r="G90" s="94"/>
      <c r="H90" s="25"/>
    </row>
    <row r="91" spans="1:8" x14ac:dyDescent="0.25">
      <c r="A91" s="96"/>
      <c r="B91" s="94"/>
      <c r="C91" s="94"/>
      <c r="D91" s="94"/>
      <c r="E91" s="94"/>
      <c r="F91" s="94"/>
      <c r="G91" s="94"/>
      <c r="H91" s="25"/>
    </row>
    <row r="92" spans="1:8" x14ac:dyDescent="0.25">
      <c r="A92" s="96"/>
      <c r="B92" s="94"/>
      <c r="C92" s="94"/>
      <c r="D92" s="94"/>
      <c r="E92" s="94"/>
      <c r="F92" s="94"/>
      <c r="G92" s="94"/>
      <c r="H92" s="25"/>
    </row>
    <row r="93" spans="1:8" x14ac:dyDescent="0.25">
      <c r="A93" s="96"/>
      <c r="B93" s="94"/>
      <c r="C93" s="94"/>
      <c r="D93" s="94"/>
      <c r="E93" s="94"/>
      <c r="F93" s="94"/>
      <c r="G93" s="94"/>
      <c r="H93" s="25"/>
    </row>
    <row r="94" spans="1:8" x14ac:dyDescent="0.25">
      <c r="A94" s="96"/>
      <c r="B94" s="94"/>
      <c r="C94" s="94"/>
      <c r="D94" s="94"/>
      <c r="E94" s="94"/>
      <c r="F94" s="94"/>
      <c r="G94" s="94"/>
      <c r="H94" s="25"/>
    </row>
    <row r="95" spans="1:8" x14ac:dyDescent="0.25">
      <c r="A95" s="96"/>
      <c r="B95" s="94"/>
      <c r="C95" s="94"/>
      <c r="D95" s="94"/>
      <c r="E95" s="94"/>
      <c r="F95" s="94"/>
      <c r="G95" s="94"/>
      <c r="H95" s="25"/>
    </row>
    <row r="96" spans="1:8" x14ac:dyDescent="0.25">
      <c r="A96" s="96"/>
      <c r="B96" s="94"/>
      <c r="C96" s="94"/>
      <c r="D96" s="94"/>
      <c r="E96" s="94"/>
      <c r="F96" s="94"/>
      <c r="G96" s="94"/>
      <c r="H96" s="25"/>
    </row>
    <row r="97" spans="1:8" x14ac:dyDescent="0.25">
      <c r="A97" s="96"/>
      <c r="B97" s="94"/>
      <c r="C97" s="94"/>
      <c r="D97" s="94"/>
      <c r="E97" s="94"/>
      <c r="F97" s="94"/>
      <c r="G97" s="94"/>
      <c r="H97" s="25"/>
    </row>
    <row r="98" spans="1:8" x14ac:dyDescent="0.25">
      <c r="A98" s="96"/>
      <c r="B98" s="94" t="s">
        <v>144</v>
      </c>
      <c r="C98" s="94"/>
      <c r="D98" s="94"/>
      <c r="E98" s="94"/>
      <c r="F98" s="94"/>
      <c r="G98" s="94"/>
      <c r="H98" s="25"/>
    </row>
    <row r="99" spans="1:8" x14ac:dyDescent="0.25">
      <c r="A99" s="96"/>
      <c r="B99" s="94"/>
      <c r="C99" s="94"/>
      <c r="D99" s="94"/>
      <c r="E99" s="94"/>
      <c r="F99" s="94"/>
      <c r="G99" s="94"/>
      <c r="H99" s="25"/>
    </row>
    <row r="100" spans="1:8" x14ac:dyDescent="0.25">
      <c r="A100" s="96"/>
      <c r="B100" s="94"/>
      <c r="C100" s="94"/>
      <c r="D100" s="94"/>
      <c r="E100" s="94"/>
      <c r="F100" s="94"/>
      <c r="G100" s="94"/>
      <c r="H100" s="25"/>
    </row>
    <row r="101" spans="1:8" x14ac:dyDescent="0.25">
      <c r="A101" s="96"/>
      <c r="B101" s="94"/>
      <c r="C101" s="94"/>
      <c r="D101" s="94"/>
      <c r="E101" s="94"/>
      <c r="F101" s="94"/>
      <c r="G101" s="94"/>
      <c r="H101" s="25"/>
    </row>
    <row r="102" spans="1:8" x14ac:dyDescent="0.25">
      <c r="A102" s="96"/>
      <c r="B102" s="94"/>
      <c r="C102" s="94"/>
      <c r="D102" s="94"/>
      <c r="E102" s="94"/>
      <c r="F102" s="94"/>
      <c r="G102" s="94"/>
      <c r="H102" s="25"/>
    </row>
    <row r="103" spans="1:8" x14ac:dyDescent="0.25">
      <c r="A103" s="96"/>
      <c r="B103" s="94"/>
      <c r="C103" s="94"/>
      <c r="D103" s="94"/>
      <c r="E103" s="94"/>
      <c r="F103" s="94"/>
      <c r="G103" s="94"/>
      <c r="H103" s="25"/>
    </row>
    <row r="104" spans="1:8" x14ac:dyDescent="0.25">
      <c r="A104" s="96"/>
      <c r="B104" s="94"/>
      <c r="C104" s="94"/>
      <c r="D104" s="94"/>
      <c r="E104" s="94"/>
      <c r="F104" s="94"/>
      <c r="G104" s="94"/>
      <c r="H104" s="25"/>
    </row>
    <row r="105" spans="1:8" x14ac:dyDescent="0.25">
      <c r="A105" s="96"/>
      <c r="B105" s="94"/>
      <c r="C105" s="94"/>
      <c r="D105" s="94"/>
      <c r="E105" s="94"/>
      <c r="F105" s="94"/>
      <c r="G105" s="94"/>
      <c r="H105" s="25"/>
    </row>
    <row r="106" spans="1:8" x14ac:dyDescent="0.25">
      <c r="A106" s="96"/>
      <c r="B106" s="94"/>
      <c r="C106" s="94"/>
      <c r="D106" s="94"/>
      <c r="E106" s="94"/>
      <c r="F106" s="94"/>
      <c r="G106" s="94"/>
      <c r="H106" s="25"/>
    </row>
    <row r="107" spans="1:8" x14ac:dyDescent="0.25">
      <c r="A107" s="96"/>
      <c r="B107" s="94"/>
      <c r="C107" s="94"/>
      <c r="D107" s="94"/>
      <c r="E107" s="94"/>
      <c r="F107" s="94"/>
      <c r="G107" s="94"/>
      <c r="H107" s="25"/>
    </row>
    <row r="108" spans="1:8" x14ac:dyDescent="0.25">
      <c r="A108" s="96"/>
      <c r="B108" s="94"/>
      <c r="C108" s="94"/>
      <c r="D108" s="94"/>
      <c r="E108" s="94"/>
      <c r="F108" s="94"/>
      <c r="G108" s="94"/>
      <c r="H108" s="25"/>
    </row>
    <row r="109" spans="1:8" x14ac:dyDescent="0.25">
      <c r="A109" s="96"/>
      <c r="B109" s="94"/>
      <c r="C109" s="94"/>
      <c r="D109" s="94"/>
      <c r="E109" s="94"/>
      <c r="F109" s="94"/>
      <c r="G109" s="94"/>
      <c r="H109" s="25"/>
    </row>
    <row r="110" spans="1:8" ht="13.8" customHeight="1" x14ac:dyDescent="0.25">
      <c r="A110" s="96"/>
      <c r="B110" s="94" t="s">
        <v>135</v>
      </c>
      <c r="C110" s="94"/>
      <c r="D110" s="94"/>
      <c r="E110" s="94"/>
      <c r="F110" s="94"/>
      <c r="G110" s="94"/>
      <c r="H110" s="25"/>
    </row>
    <row r="111" spans="1:8" x14ac:dyDescent="0.25">
      <c r="A111" s="96"/>
      <c r="B111" s="94"/>
      <c r="C111" s="94"/>
      <c r="D111" s="94"/>
      <c r="E111" s="94"/>
      <c r="F111" s="94"/>
      <c r="G111" s="94"/>
      <c r="H111" s="25"/>
    </row>
    <row r="112" spans="1:8" x14ac:dyDescent="0.25">
      <c r="A112" s="96"/>
      <c r="B112" s="94"/>
      <c r="C112" s="94"/>
      <c r="D112" s="94"/>
      <c r="E112" s="94"/>
      <c r="F112" s="94"/>
      <c r="G112" s="94"/>
      <c r="H112" s="25"/>
    </row>
    <row r="113" spans="1:8" x14ac:dyDescent="0.25">
      <c r="A113" s="96"/>
      <c r="B113" s="94"/>
      <c r="C113" s="94"/>
      <c r="D113" s="94"/>
      <c r="E113" s="94"/>
      <c r="F113" s="94"/>
      <c r="G113" s="94"/>
      <c r="H113" s="25"/>
    </row>
    <row r="114" spans="1:8" x14ac:dyDescent="0.25">
      <c r="A114" s="96"/>
      <c r="B114" s="94"/>
      <c r="C114" s="94"/>
      <c r="D114" s="94"/>
      <c r="E114" s="94"/>
      <c r="F114" s="94"/>
      <c r="G114" s="94"/>
      <c r="H114" s="25"/>
    </row>
    <row r="115" spans="1:8" x14ac:dyDescent="0.25">
      <c r="A115" s="96"/>
      <c r="B115" s="94"/>
      <c r="C115" s="94"/>
      <c r="D115" s="94"/>
      <c r="E115" s="94"/>
      <c r="F115" s="94"/>
      <c r="G115" s="94"/>
      <c r="H115" s="25"/>
    </row>
    <row r="116" spans="1:8" x14ac:dyDescent="0.25">
      <c r="A116" s="96"/>
      <c r="B116" s="94"/>
      <c r="C116" s="94"/>
      <c r="D116" s="94"/>
      <c r="E116" s="94"/>
      <c r="F116" s="94"/>
      <c r="G116" s="94"/>
      <c r="H116" s="25"/>
    </row>
    <row r="117" spans="1:8" ht="13.8" customHeight="1" x14ac:dyDescent="0.25">
      <c r="A117" s="96"/>
      <c r="B117" s="94" t="s">
        <v>136</v>
      </c>
      <c r="C117" s="94"/>
      <c r="D117" s="94"/>
      <c r="E117" s="94"/>
      <c r="F117" s="94"/>
      <c r="G117" s="94"/>
      <c r="H117" s="25"/>
    </row>
    <row r="118" spans="1:8" x14ac:dyDescent="0.25">
      <c r="A118" s="96"/>
      <c r="B118" s="94"/>
      <c r="C118" s="94"/>
      <c r="D118" s="94"/>
      <c r="E118" s="94"/>
      <c r="F118" s="94"/>
      <c r="G118" s="94"/>
      <c r="H118" s="25"/>
    </row>
    <row r="119" spans="1:8" x14ac:dyDescent="0.25">
      <c r="A119" s="96"/>
      <c r="B119" s="94"/>
      <c r="C119" s="94"/>
      <c r="D119" s="94"/>
      <c r="E119" s="94"/>
      <c r="F119" s="94"/>
      <c r="G119" s="94"/>
      <c r="H119" s="25"/>
    </row>
    <row r="120" spans="1:8" x14ac:dyDescent="0.25">
      <c r="A120" s="96"/>
      <c r="B120" s="94"/>
      <c r="C120" s="94"/>
      <c r="D120" s="94"/>
      <c r="E120" s="94"/>
      <c r="F120" s="94"/>
      <c r="G120" s="94"/>
      <c r="H120" s="25"/>
    </row>
    <row r="121" spans="1:8" x14ac:dyDescent="0.25">
      <c r="A121" s="96"/>
      <c r="B121" s="94"/>
      <c r="C121" s="94"/>
      <c r="D121" s="94"/>
      <c r="E121" s="94"/>
      <c r="F121" s="94"/>
      <c r="G121" s="94"/>
      <c r="H121" s="25"/>
    </row>
    <row r="122" spans="1:8" x14ac:dyDescent="0.25">
      <c r="A122" s="96"/>
      <c r="B122" s="94"/>
      <c r="C122" s="94"/>
      <c r="D122" s="94"/>
      <c r="E122" s="94"/>
      <c r="F122" s="94"/>
      <c r="G122" s="94"/>
      <c r="H122" s="25"/>
    </row>
    <row r="123" spans="1:8" x14ac:dyDescent="0.25">
      <c r="A123" s="96"/>
      <c r="B123" s="94"/>
      <c r="C123" s="94"/>
      <c r="D123" s="94"/>
      <c r="E123" s="94"/>
      <c r="F123" s="94"/>
      <c r="G123" s="94"/>
      <c r="H123" s="25"/>
    </row>
    <row r="124" spans="1:8" x14ac:dyDescent="0.25">
      <c r="A124" s="96"/>
      <c r="B124" s="94"/>
      <c r="C124" s="94"/>
      <c r="D124" s="94"/>
      <c r="E124" s="94"/>
      <c r="F124" s="94"/>
      <c r="G124" s="94"/>
      <c r="H124" s="25"/>
    </row>
    <row r="125" spans="1:8" ht="14.4" thickBot="1" x14ac:dyDescent="0.3">
      <c r="A125" s="96"/>
      <c r="B125" s="94"/>
      <c r="C125" s="94"/>
      <c r="D125" s="94"/>
      <c r="E125" s="94"/>
      <c r="F125" s="94"/>
      <c r="G125" s="94"/>
    </row>
    <row r="126" spans="1:8" ht="14.4" customHeight="1" thickBot="1" x14ac:dyDescent="0.3">
      <c r="A126" s="96"/>
      <c r="B126" s="29" t="s">
        <v>22</v>
      </c>
      <c r="C126" s="30" t="s">
        <v>119</v>
      </c>
      <c r="D126" s="30" t="s">
        <v>106</v>
      </c>
      <c r="E126" s="31" t="s">
        <v>99</v>
      </c>
      <c r="F126" s="103" t="s">
        <v>118</v>
      </c>
      <c r="G126" s="103"/>
    </row>
    <row r="127" spans="1:8" s="63" customFormat="1" ht="14.4" customHeight="1" thickBot="1" x14ac:dyDescent="0.3">
      <c r="A127" s="96"/>
      <c r="B127" s="86" t="s">
        <v>149</v>
      </c>
      <c r="C127" s="87" t="s">
        <v>150</v>
      </c>
      <c r="D127" s="81" t="s">
        <v>156</v>
      </c>
      <c r="E127" s="95" t="s">
        <v>121</v>
      </c>
      <c r="F127" s="103"/>
      <c r="G127" s="103"/>
    </row>
    <row r="128" spans="1:8" ht="16.2" thickBot="1" x14ac:dyDescent="0.3">
      <c r="A128" s="96"/>
      <c r="B128" s="88" t="s">
        <v>107</v>
      </c>
      <c r="C128" s="89" t="s">
        <v>139</v>
      </c>
      <c r="D128" s="84" t="s">
        <v>155</v>
      </c>
      <c r="E128" s="95"/>
      <c r="F128" s="103"/>
      <c r="G128" s="103"/>
    </row>
    <row r="129" spans="1:7" ht="16.2" thickBot="1" x14ac:dyDescent="0.3">
      <c r="A129" s="96"/>
      <c r="B129" s="88" t="s">
        <v>108</v>
      </c>
      <c r="C129" s="90" t="s">
        <v>112</v>
      </c>
      <c r="D129" s="82" t="s">
        <v>109</v>
      </c>
      <c r="E129" s="26" t="s">
        <v>117</v>
      </c>
      <c r="F129" s="103"/>
      <c r="G129" s="103"/>
    </row>
    <row r="130" spans="1:7" ht="16.2" thickBot="1" x14ac:dyDescent="0.3">
      <c r="A130" s="96"/>
      <c r="B130" s="88" t="s">
        <v>110</v>
      </c>
      <c r="C130" s="90" t="s">
        <v>113</v>
      </c>
      <c r="D130" s="83" t="s">
        <v>111</v>
      </c>
      <c r="E130" s="26" t="s">
        <v>116</v>
      </c>
      <c r="F130" s="103"/>
      <c r="G130" s="103"/>
    </row>
    <row r="131" spans="1:7" x14ac:dyDescent="0.25">
      <c r="B131" s="91" t="s">
        <v>159</v>
      </c>
      <c r="C131" s="92"/>
      <c r="D131" s="92"/>
      <c r="E131" s="92"/>
      <c r="F131" s="92"/>
      <c r="G131" s="92"/>
    </row>
    <row r="132" spans="1:7" x14ac:dyDescent="0.25">
      <c r="B132" s="92"/>
      <c r="C132" s="92"/>
      <c r="D132" s="92"/>
      <c r="E132" s="92"/>
      <c r="F132" s="92"/>
      <c r="G132" s="92"/>
    </row>
    <row r="133" spans="1:7" x14ac:dyDescent="0.25">
      <c r="B133" s="92"/>
      <c r="C133" s="92"/>
      <c r="D133" s="92"/>
      <c r="E133" s="92"/>
      <c r="F133" s="92"/>
      <c r="G133" s="92"/>
    </row>
    <row r="134" spans="1:7" x14ac:dyDescent="0.25">
      <c r="B134" s="92"/>
      <c r="C134" s="92"/>
      <c r="D134" s="92"/>
      <c r="E134" s="92"/>
      <c r="F134" s="92"/>
      <c r="G134" s="92"/>
    </row>
    <row r="135" spans="1:7" x14ac:dyDescent="0.25">
      <c r="B135" s="92"/>
      <c r="C135" s="92"/>
      <c r="D135" s="92"/>
      <c r="E135" s="92"/>
      <c r="F135" s="92"/>
      <c r="G135" s="92"/>
    </row>
  </sheetData>
  <sheetProtection algorithmName="SHA-512" hashValue="2XAohSgWT5O9ESZvemEawq4mjvwsV3KvJqMmDoCvPV2zKdLNnLxXGJsQwlzO+TYLu3xXkw5TzkQxBZANe6s1bA==" saltValue="9IgP/lc5Q2sFT4TxPxMttw==" spinCount="100000" sheet="1" objects="1" scenarios="1" selectLockedCells="1"/>
  <mergeCells count="25">
    <mergeCell ref="A32:A130"/>
    <mergeCell ref="B67:G81"/>
    <mergeCell ref="B82:G97"/>
    <mergeCell ref="B98:G109"/>
    <mergeCell ref="B52:G66"/>
    <mergeCell ref="B32:G36"/>
    <mergeCell ref="B37:G51"/>
    <mergeCell ref="F126:G130"/>
    <mergeCell ref="A24:A26"/>
    <mergeCell ref="B24:G26"/>
    <mergeCell ref="A27:A30"/>
    <mergeCell ref="B27:G30"/>
    <mergeCell ref="A3:O3"/>
    <mergeCell ref="A4:O4"/>
    <mergeCell ref="A16:A19"/>
    <mergeCell ref="A20:A23"/>
    <mergeCell ref="A12:A15"/>
    <mergeCell ref="B12:G15"/>
    <mergeCell ref="H12:H15"/>
    <mergeCell ref="B131:G135"/>
    <mergeCell ref="B16:G19"/>
    <mergeCell ref="B20:G23"/>
    <mergeCell ref="B117:G125"/>
    <mergeCell ref="B110:G116"/>
    <mergeCell ref="E127:E128"/>
  </mergeCells>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D57"/>
  <sheetViews>
    <sheetView workbookViewId="0">
      <selection activeCell="C30" sqref="C30"/>
    </sheetView>
  </sheetViews>
  <sheetFormatPr defaultRowHeight="13.8" x14ac:dyDescent="0.25"/>
  <cols>
    <col min="1" max="1" width="16.5" customWidth="1"/>
    <col min="2" max="2" width="18.09765625" customWidth="1"/>
    <col min="3" max="3" width="35.19921875" customWidth="1"/>
    <col min="4" max="4" width="13.59765625" customWidth="1"/>
  </cols>
  <sheetData>
    <row r="1" spans="1:4" x14ac:dyDescent="0.25">
      <c r="A1" s="52" t="s">
        <v>5</v>
      </c>
      <c r="B1" s="52" t="s">
        <v>6</v>
      </c>
      <c r="C1" s="52" t="s">
        <v>7</v>
      </c>
      <c r="D1" s="52" t="s">
        <v>45</v>
      </c>
    </row>
    <row r="2" spans="1:4" x14ac:dyDescent="0.25">
      <c r="A2" s="51" t="s">
        <v>152</v>
      </c>
      <c r="B2" s="51" t="s">
        <v>43</v>
      </c>
      <c r="C2" s="51"/>
      <c r="D2" s="51" t="s">
        <v>154</v>
      </c>
    </row>
    <row r="3" spans="1:4" x14ac:dyDescent="0.25">
      <c r="A3" s="51" t="s">
        <v>153</v>
      </c>
      <c r="B3" s="51" t="s">
        <v>44</v>
      </c>
      <c r="C3" s="51"/>
      <c r="D3" s="67" t="s">
        <v>34</v>
      </c>
    </row>
    <row r="4" spans="1:4" x14ac:dyDescent="0.25">
      <c r="A4" s="51"/>
      <c r="B4" s="51"/>
      <c r="C4" s="51"/>
      <c r="D4" s="67"/>
    </row>
    <row r="5" spans="1:4" x14ac:dyDescent="0.25">
      <c r="D5" s="67"/>
    </row>
    <row r="6" spans="1:4" x14ac:dyDescent="0.25">
      <c r="D6" s="67"/>
    </row>
    <row r="7" spans="1:4" x14ac:dyDescent="0.25">
      <c r="D7" s="67"/>
    </row>
    <row r="8" spans="1:4" x14ac:dyDescent="0.25">
      <c r="D8" s="67"/>
    </row>
    <row r="9" spans="1:4" x14ac:dyDescent="0.25">
      <c r="D9" s="67"/>
    </row>
    <row r="10" spans="1:4" x14ac:dyDescent="0.25">
      <c r="D10" s="67"/>
    </row>
    <row r="11" spans="1:4" x14ac:dyDescent="0.25">
      <c r="D11" s="67"/>
    </row>
    <row r="12" spans="1:4" x14ac:dyDescent="0.25">
      <c r="D12" s="67"/>
    </row>
    <row r="13" spans="1:4" x14ac:dyDescent="0.25">
      <c r="D13" s="67"/>
    </row>
    <row r="14" spans="1:4" x14ac:dyDescent="0.25">
      <c r="D14" s="67"/>
    </row>
    <row r="15" spans="1:4" x14ac:dyDescent="0.25">
      <c r="D15" s="67"/>
    </row>
    <row r="16" spans="1:4" x14ac:dyDescent="0.25">
      <c r="D16" s="67"/>
    </row>
    <row r="17" spans="4:4" x14ac:dyDescent="0.25">
      <c r="D17" s="67"/>
    </row>
    <row r="18" spans="4:4" x14ac:dyDescent="0.25">
      <c r="D18" s="67"/>
    </row>
    <row r="19" spans="4:4" x14ac:dyDescent="0.25">
      <c r="D19" s="67"/>
    </row>
    <row r="20" spans="4:4" x14ac:dyDescent="0.25">
      <c r="D20" s="67"/>
    </row>
    <row r="21" spans="4:4" x14ac:dyDescent="0.25">
      <c r="D21" s="67"/>
    </row>
    <row r="22" spans="4:4" x14ac:dyDescent="0.25">
      <c r="D22" s="67"/>
    </row>
    <row r="23" spans="4:4" x14ac:dyDescent="0.25">
      <c r="D23" s="67"/>
    </row>
    <row r="24" spans="4:4" x14ac:dyDescent="0.25">
      <c r="D24" s="67"/>
    </row>
    <row r="25" spans="4:4" x14ac:dyDescent="0.25">
      <c r="D25" s="67"/>
    </row>
    <row r="26" spans="4:4" x14ac:dyDescent="0.25">
      <c r="D26" s="67"/>
    </row>
    <row r="27" spans="4:4" x14ac:dyDescent="0.25">
      <c r="D27" s="67"/>
    </row>
    <row r="28" spans="4:4" x14ac:dyDescent="0.25">
      <c r="D28" s="67"/>
    </row>
    <row r="29" spans="4:4" x14ac:dyDescent="0.25">
      <c r="D29" s="67"/>
    </row>
    <row r="30" spans="4:4" x14ac:dyDescent="0.25">
      <c r="D30" s="67"/>
    </row>
    <row r="31" spans="4:4" x14ac:dyDescent="0.25">
      <c r="D31" s="67"/>
    </row>
    <row r="32" spans="4:4" x14ac:dyDescent="0.25">
      <c r="D32" s="67"/>
    </row>
    <row r="33" spans="4:4" x14ac:dyDescent="0.25">
      <c r="D33" s="67"/>
    </row>
    <row r="34" spans="4:4" x14ac:dyDescent="0.25">
      <c r="D34" s="67"/>
    </row>
    <row r="35" spans="4:4" x14ac:dyDescent="0.25">
      <c r="D35" s="67"/>
    </row>
    <row r="36" spans="4:4" x14ac:dyDescent="0.25">
      <c r="D36" s="67"/>
    </row>
    <row r="37" spans="4:4" x14ac:dyDescent="0.25">
      <c r="D37" s="67"/>
    </row>
    <row r="38" spans="4:4" x14ac:dyDescent="0.25">
      <c r="D38" s="67"/>
    </row>
    <row r="39" spans="4:4" x14ac:dyDescent="0.25">
      <c r="D39" s="67"/>
    </row>
    <row r="40" spans="4:4" x14ac:dyDescent="0.25">
      <c r="D40" s="67"/>
    </row>
    <row r="41" spans="4:4" x14ac:dyDescent="0.25">
      <c r="D41" s="67"/>
    </row>
    <row r="42" spans="4:4" x14ac:dyDescent="0.25">
      <c r="D42" s="67"/>
    </row>
    <row r="43" spans="4:4" x14ac:dyDescent="0.25">
      <c r="D43" s="67"/>
    </row>
    <row r="44" spans="4:4" x14ac:dyDescent="0.25">
      <c r="D44" s="67"/>
    </row>
    <row r="45" spans="4:4" x14ac:dyDescent="0.25">
      <c r="D45" s="67"/>
    </row>
    <row r="46" spans="4:4" x14ac:dyDescent="0.25">
      <c r="D46" s="67"/>
    </row>
    <row r="47" spans="4:4" x14ac:dyDescent="0.25">
      <c r="D47" s="67"/>
    </row>
    <row r="48" spans="4:4" x14ac:dyDescent="0.25">
      <c r="D48" s="67"/>
    </row>
    <row r="49" spans="4:4" x14ac:dyDescent="0.25">
      <c r="D49" s="67"/>
    </row>
    <row r="50" spans="4:4" x14ac:dyDescent="0.25">
      <c r="D50" s="67"/>
    </row>
    <row r="51" spans="4:4" x14ac:dyDescent="0.25">
      <c r="D51" s="67"/>
    </row>
    <row r="52" spans="4:4" x14ac:dyDescent="0.25">
      <c r="D52" s="67"/>
    </row>
    <row r="53" spans="4:4" x14ac:dyDescent="0.25">
      <c r="D53" s="67"/>
    </row>
    <row r="54" spans="4:4" x14ac:dyDescent="0.25">
      <c r="D54" s="67"/>
    </row>
    <row r="55" spans="4:4" x14ac:dyDescent="0.25">
      <c r="D55" s="67"/>
    </row>
    <row r="56" spans="4:4" x14ac:dyDescent="0.25">
      <c r="D56" s="67"/>
    </row>
    <row r="57" spans="4:4" x14ac:dyDescent="0.25">
      <c r="D57" s="67"/>
    </row>
  </sheetData>
  <dataValidations count="2">
    <dataValidation type="list" allowBlank="1" showInputMessage="1" showErrorMessage="1" sqref="B21:B50">
      <formula1>"Lists!B1:B50"</formula1>
    </dataValidation>
    <dataValidation type="list" allowBlank="1" showInputMessage="1" showErrorMessage="1" sqref="D2:D57">
      <formula1>"high,medium,low"</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E1"/>
  <sheetViews>
    <sheetView workbookViewId="0">
      <selection activeCell="C2" sqref="C2"/>
    </sheetView>
  </sheetViews>
  <sheetFormatPr defaultRowHeight="13.8" x14ac:dyDescent="0.25"/>
  <cols>
    <col min="1" max="5" width="24" customWidth="1"/>
  </cols>
  <sheetData>
    <row r="1" spans="1:5" x14ac:dyDescent="0.25">
      <c r="A1" s="40" t="s">
        <v>8</v>
      </c>
      <c r="B1" s="40" t="s">
        <v>6</v>
      </c>
      <c r="C1" s="40" t="s">
        <v>9</v>
      </c>
      <c r="D1" s="40" t="s">
        <v>10</v>
      </c>
      <c r="E1" s="40" t="s">
        <v>11</v>
      </c>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14:formula1>
            <xm:f>Business_Assets!$B$2:$B$30</xm:f>
          </x14:formula1>
          <xm:sqref>D2:D33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N56"/>
  <sheetViews>
    <sheetView workbookViewId="0">
      <selection activeCell="F2" sqref="F2"/>
    </sheetView>
  </sheetViews>
  <sheetFormatPr defaultRowHeight="13.8" x14ac:dyDescent="0.25"/>
  <cols>
    <col min="1" max="1" width="12.796875" style="16" customWidth="1"/>
    <col min="2" max="3" width="17.09765625" style="16" customWidth="1"/>
    <col min="4" max="4" width="17.3984375" style="16" customWidth="1"/>
    <col min="5" max="5" width="21.796875" style="34" customWidth="1"/>
    <col min="6" max="7" width="25.09765625" style="16" customWidth="1"/>
    <col min="8" max="9" width="25.09765625" style="34" customWidth="1"/>
    <col min="10" max="10" width="14.5" customWidth="1"/>
    <col min="11" max="11" width="15.19921875" customWidth="1"/>
    <col min="12" max="12" width="19.796875" customWidth="1"/>
    <col min="13" max="13" width="25.5" customWidth="1"/>
    <col min="14" max="14" width="16.09765625" customWidth="1"/>
  </cols>
  <sheetData>
    <row r="1" spans="1:14" s="1" customFormat="1" x14ac:dyDescent="0.25">
      <c r="A1" s="41" t="s">
        <v>14</v>
      </c>
      <c r="B1" s="41" t="s">
        <v>83</v>
      </c>
      <c r="C1" s="41" t="s">
        <v>15</v>
      </c>
      <c r="D1" s="113" t="s">
        <v>134</v>
      </c>
      <c r="E1" s="33" t="s">
        <v>24</v>
      </c>
      <c r="F1" s="41" t="s">
        <v>88</v>
      </c>
      <c r="G1" s="41" t="s">
        <v>55</v>
      </c>
      <c r="H1" s="33" t="s">
        <v>98</v>
      </c>
      <c r="I1" s="53" t="s">
        <v>127</v>
      </c>
      <c r="J1" s="104" t="s">
        <v>38</v>
      </c>
      <c r="K1" s="104"/>
      <c r="L1" s="104"/>
      <c r="M1" s="105" t="s">
        <v>50</v>
      </c>
      <c r="N1" s="105"/>
    </row>
    <row r="2" spans="1:14" x14ac:dyDescent="0.25">
      <c r="A2" s="20" t="s">
        <v>124</v>
      </c>
      <c r="B2" s="20" t="s">
        <v>133</v>
      </c>
      <c r="C2" s="20" t="s">
        <v>125</v>
      </c>
      <c r="D2" s="20">
        <v>9.5</v>
      </c>
      <c r="E2" s="35">
        <f>IF(D2="","",
IF(D2&lt;4,1,
IF(D2&lt;6,2,
IF(D2&lt;7,3,
IF(D2&lt;9,4,
IF(D2&lt;=10,5)
)))))</f>
        <v>5</v>
      </c>
      <c r="F2" s="20" t="s">
        <v>126</v>
      </c>
      <c r="G2" s="20" t="s">
        <v>51</v>
      </c>
      <c r="H2" s="36">
        <f>IF(G2="No relevant controls",0,
 IF(G2="Controls exist but inadequate",1,
 IF(G2="Partially adequate",2,
 IF(G2="Adequate and effective",3,
 IF(G2="Fully adequate and resilient",4,"")))))</f>
        <v>1</v>
      </c>
      <c r="I2" s="36">
        <f>IF(OR(E2="", H2=""), "", MAX(1, E2 -H2))</f>
        <v>4</v>
      </c>
      <c r="J2" s="104"/>
      <c r="K2" s="104"/>
      <c r="L2" s="104"/>
      <c r="M2" s="24" t="s">
        <v>49</v>
      </c>
      <c r="N2" s="24">
        <v>0</v>
      </c>
    </row>
    <row r="3" spans="1:14" x14ac:dyDescent="0.25">
      <c r="A3" s="20"/>
      <c r="B3" s="20"/>
      <c r="C3" s="20"/>
      <c r="D3" s="20"/>
      <c r="E3" s="35" t="str">
        <f t="shared" ref="E3:E34" si="0">IF(D3="","",
IF(D3&lt;4,1,
IF(D3&lt;6,2,
IF(D3&lt;7,3,
IF(D3&lt;9,4,
IF(D3&lt;=10,5)
)))))</f>
        <v/>
      </c>
      <c r="F3" s="20"/>
      <c r="G3" s="20"/>
      <c r="H3" s="36" t="str">
        <f>IF(G3="No relevant controls",0,
 IF(G3="Controls exist but inadequate",1,
 IF(G3="Partially adequate",2,
 IF(G3="Adequate and effective",3,
 IF(G3="Fully adequate and resilient",4,"")))))</f>
        <v/>
      </c>
      <c r="I3" s="36" t="str">
        <f t="shared" ref="I3:I31" si="1">IF(OR(E3="", H3=""), "", MAX(1, E3 -H3))</f>
        <v/>
      </c>
      <c r="J3" s="104"/>
      <c r="K3" s="104"/>
      <c r="L3" s="104"/>
      <c r="M3" s="24" t="s">
        <v>51</v>
      </c>
      <c r="N3" s="24">
        <v>1</v>
      </c>
    </row>
    <row r="4" spans="1:14" x14ac:dyDescent="0.25">
      <c r="A4" s="20"/>
      <c r="B4" s="20"/>
      <c r="C4" s="20"/>
      <c r="D4" s="20"/>
      <c r="E4" s="35" t="str">
        <f t="shared" si="0"/>
        <v/>
      </c>
      <c r="F4" s="20"/>
      <c r="G4" s="20"/>
      <c r="H4" s="36" t="str">
        <f>IF(G4="No relevant controls",0,
 IF(G4="Controls exist but inadequate",1,
 IF(G4="Partially adequate",2,
 IF(G4="Adequate and effective",3,
 IF(G4="Fully adequate and resilient",4,"")))))</f>
        <v/>
      </c>
      <c r="I4" s="36" t="str">
        <f t="shared" si="1"/>
        <v/>
      </c>
      <c r="J4" s="104"/>
      <c r="K4" s="104"/>
      <c r="L4" s="104"/>
      <c r="M4" s="24" t="s">
        <v>52</v>
      </c>
      <c r="N4" s="24">
        <v>2</v>
      </c>
    </row>
    <row r="5" spans="1:14" x14ac:dyDescent="0.25">
      <c r="A5" s="20"/>
      <c r="B5" s="20"/>
      <c r="C5" s="20"/>
      <c r="D5" s="20"/>
      <c r="E5" s="35" t="str">
        <f t="shared" si="0"/>
        <v/>
      </c>
      <c r="F5" s="20"/>
      <c r="G5" s="20"/>
      <c r="H5" s="36" t="str">
        <f>IF(G5="No relevant controls",0,
 IF(G5="Controls exist but inadequate",1,
 IF(G5="Partially adequate",2,
 IF(G5="Adequate and effective",3,
 IF(G5="Fully adequate and resilient",4,"")))))</f>
        <v/>
      </c>
      <c r="I5" s="36" t="str">
        <f t="shared" si="1"/>
        <v/>
      </c>
      <c r="J5" s="104"/>
      <c r="K5" s="104"/>
      <c r="L5" s="104"/>
      <c r="M5" s="24" t="s">
        <v>53</v>
      </c>
      <c r="N5" s="24">
        <v>3</v>
      </c>
    </row>
    <row r="6" spans="1:14" x14ac:dyDescent="0.25">
      <c r="A6" s="20"/>
      <c r="B6" s="20"/>
      <c r="C6" s="20"/>
      <c r="D6" s="20"/>
      <c r="E6" s="35" t="str">
        <f t="shared" si="0"/>
        <v/>
      </c>
      <c r="F6" s="20"/>
      <c r="G6" s="20"/>
      <c r="H6" s="36" t="str">
        <f>IF(G6="No relevant controls",0,
 IF(G6="Controls exist but inadequate",1,
 IF(G6="Partially adequate",2,
 IF(G6="Adequate and effective",3,
 IF(G6="Fully adequate and resilient",4,"")))))</f>
        <v/>
      </c>
      <c r="I6" s="36" t="str">
        <f t="shared" si="1"/>
        <v/>
      </c>
      <c r="J6" s="2" t="s">
        <v>25</v>
      </c>
      <c r="K6" s="32" t="s">
        <v>26</v>
      </c>
      <c r="L6" s="32" t="s">
        <v>27</v>
      </c>
      <c r="M6" s="24" t="s">
        <v>54</v>
      </c>
      <c r="N6" s="24">
        <v>4</v>
      </c>
    </row>
    <row r="7" spans="1:14" x14ac:dyDescent="0.25">
      <c r="A7" s="20"/>
      <c r="B7" s="20"/>
      <c r="C7" s="20"/>
      <c r="D7" s="20"/>
      <c r="E7" s="35" t="str">
        <f t="shared" si="0"/>
        <v/>
      </c>
      <c r="F7" s="20"/>
      <c r="G7" s="20"/>
      <c r="H7" s="36" t="str">
        <f t="shared" ref="H7:H30" si="2">IF(G7="No relevant controls",0,
 IF(G7="Controls exist but inadequate",1,
 IF(G7="Partially adequate",2,
 IF(G7="Adequate and effective",3,
 IF(G7="Fully adequate and resilient",4,"")))))</f>
        <v/>
      </c>
      <c r="I7" s="36" t="str">
        <f t="shared" si="1"/>
        <v/>
      </c>
      <c r="J7" s="2" t="s">
        <v>28</v>
      </c>
      <c r="K7" s="32">
        <v>1</v>
      </c>
      <c r="L7" s="32" t="s">
        <v>31</v>
      </c>
      <c r="M7" s="24"/>
      <c r="N7" s="24"/>
    </row>
    <row r="8" spans="1:14" x14ac:dyDescent="0.25">
      <c r="A8" s="20"/>
      <c r="B8" s="20"/>
      <c r="C8" s="20"/>
      <c r="D8" s="20"/>
      <c r="E8" s="35" t="str">
        <f t="shared" si="0"/>
        <v/>
      </c>
      <c r="F8" s="20"/>
      <c r="G8" s="20"/>
      <c r="H8" s="36" t="str">
        <f t="shared" si="2"/>
        <v/>
      </c>
      <c r="I8" s="36" t="str">
        <f t="shared" si="1"/>
        <v/>
      </c>
      <c r="J8" s="2" t="s">
        <v>29</v>
      </c>
      <c r="K8" s="32">
        <v>2</v>
      </c>
      <c r="L8" s="32" t="s">
        <v>32</v>
      </c>
      <c r="M8" s="24"/>
      <c r="N8" s="24"/>
    </row>
    <row r="9" spans="1:14" x14ac:dyDescent="0.25">
      <c r="A9" s="20"/>
      <c r="B9" s="20"/>
      <c r="C9" s="20"/>
      <c r="D9" s="20"/>
      <c r="E9" s="35" t="str">
        <f t="shared" si="0"/>
        <v/>
      </c>
      <c r="F9" s="20"/>
      <c r="G9" s="20"/>
      <c r="H9" s="36" t="str">
        <f t="shared" si="2"/>
        <v/>
      </c>
      <c r="I9" s="36" t="str">
        <f t="shared" si="1"/>
        <v/>
      </c>
      <c r="J9" s="2" t="s">
        <v>30</v>
      </c>
      <c r="K9" s="32">
        <v>3</v>
      </c>
      <c r="L9" s="32" t="s">
        <v>33</v>
      </c>
      <c r="M9" s="24"/>
      <c r="N9" s="24"/>
    </row>
    <row r="10" spans="1:14" x14ac:dyDescent="0.25">
      <c r="A10" s="20"/>
      <c r="B10" s="20"/>
      <c r="C10" s="20"/>
      <c r="D10" s="20"/>
      <c r="E10" s="35" t="str">
        <f t="shared" si="0"/>
        <v/>
      </c>
      <c r="F10" s="20"/>
      <c r="G10" s="20"/>
      <c r="H10" s="36" t="str">
        <f t="shared" si="2"/>
        <v/>
      </c>
      <c r="I10" s="36" t="str">
        <f t="shared" si="1"/>
        <v/>
      </c>
      <c r="J10" s="2" t="s">
        <v>36</v>
      </c>
      <c r="K10" s="32">
        <v>4</v>
      </c>
      <c r="L10" s="32" t="s">
        <v>34</v>
      </c>
      <c r="M10" s="24"/>
      <c r="N10" s="24"/>
    </row>
    <row r="11" spans="1:14" x14ac:dyDescent="0.25">
      <c r="A11" s="20"/>
      <c r="B11" s="20"/>
      <c r="C11" s="20"/>
      <c r="D11" s="20"/>
      <c r="E11" s="35" t="str">
        <f t="shared" si="0"/>
        <v/>
      </c>
      <c r="F11" s="20"/>
      <c r="G11" s="20"/>
      <c r="H11" s="36" t="str">
        <f t="shared" si="2"/>
        <v/>
      </c>
      <c r="I11" s="36" t="str">
        <f t="shared" si="1"/>
        <v/>
      </c>
      <c r="J11" s="4" t="s">
        <v>37</v>
      </c>
      <c r="K11" s="32">
        <v>5</v>
      </c>
      <c r="L11" s="32" t="s">
        <v>35</v>
      </c>
      <c r="M11" s="24"/>
      <c r="N11" s="24"/>
    </row>
    <row r="12" spans="1:14" x14ac:dyDescent="0.25">
      <c r="A12" s="20"/>
      <c r="B12" s="20"/>
      <c r="C12" s="20"/>
      <c r="D12" s="20"/>
      <c r="E12" s="35" t="str">
        <f t="shared" si="0"/>
        <v/>
      </c>
      <c r="F12" s="20"/>
      <c r="G12" s="20"/>
      <c r="H12" s="36" t="str">
        <f t="shared" si="2"/>
        <v/>
      </c>
      <c r="I12" s="36" t="str">
        <f t="shared" si="1"/>
        <v/>
      </c>
      <c r="J12" s="23"/>
      <c r="K12" s="24"/>
      <c r="L12" s="24"/>
      <c r="M12" s="24"/>
      <c r="N12" s="24"/>
    </row>
    <row r="13" spans="1:14" x14ac:dyDescent="0.25">
      <c r="A13" s="20"/>
      <c r="B13" s="20"/>
      <c r="C13" s="20"/>
      <c r="D13" s="20"/>
      <c r="E13" s="35" t="str">
        <f t="shared" si="0"/>
        <v/>
      </c>
      <c r="F13" s="20"/>
      <c r="G13" s="20"/>
      <c r="H13" s="36" t="str">
        <f t="shared" si="2"/>
        <v/>
      </c>
      <c r="I13" s="36" t="str">
        <f t="shared" si="1"/>
        <v/>
      </c>
      <c r="J13" s="23"/>
      <c r="K13" s="24"/>
      <c r="L13" s="24"/>
      <c r="M13" s="24"/>
      <c r="N13" s="24"/>
    </row>
    <row r="14" spans="1:14" x14ac:dyDescent="0.25">
      <c r="A14" s="20"/>
      <c r="B14" s="20"/>
      <c r="C14" s="20"/>
      <c r="D14" s="20"/>
      <c r="E14" s="35" t="str">
        <f t="shared" si="0"/>
        <v/>
      </c>
      <c r="F14" s="20"/>
      <c r="G14" s="20"/>
      <c r="H14" s="36" t="str">
        <f t="shared" si="2"/>
        <v/>
      </c>
      <c r="I14" s="36" t="str">
        <f t="shared" si="1"/>
        <v/>
      </c>
      <c r="J14" s="23"/>
      <c r="K14" s="24"/>
      <c r="L14" s="24"/>
      <c r="M14" s="24"/>
      <c r="N14" s="24"/>
    </row>
    <row r="15" spans="1:14" x14ac:dyDescent="0.25">
      <c r="A15" s="20"/>
      <c r="B15" s="20"/>
      <c r="C15" s="20"/>
      <c r="D15" s="20"/>
      <c r="E15" s="35" t="str">
        <f t="shared" si="0"/>
        <v/>
      </c>
      <c r="F15" s="20"/>
      <c r="G15" s="20"/>
      <c r="H15" s="36" t="str">
        <f t="shared" si="2"/>
        <v/>
      </c>
      <c r="I15" s="36" t="str">
        <f t="shared" si="1"/>
        <v/>
      </c>
      <c r="J15" s="23"/>
      <c r="K15" s="24"/>
      <c r="L15" s="24"/>
      <c r="M15" s="24"/>
      <c r="N15" s="24"/>
    </row>
    <row r="16" spans="1:14" x14ac:dyDescent="0.25">
      <c r="A16" s="20"/>
      <c r="B16" s="20"/>
      <c r="C16" s="20"/>
      <c r="D16" s="20"/>
      <c r="E16" s="35" t="str">
        <f t="shared" si="0"/>
        <v/>
      </c>
      <c r="F16" s="20"/>
      <c r="G16" s="20"/>
      <c r="H16" s="36" t="str">
        <f t="shared" si="2"/>
        <v/>
      </c>
      <c r="I16" s="36" t="str">
        <f t="shared" si="1"/>
        <v/>
      </c>
      <c r="J16" s="23"/>
      <c r="K16" s="24"/>
      <c r="L16" s="24"/>
      <c r="M16" s="24"/>
      <c r="N16" s="24"/>
    </row>
    <row r="17" spans="1:14" x14ac:dyDescent="0.25">
      <c r="A17" s="20"/>
      <c r="B17" s="20"/>
      <c r="C17" s="20"/>
      <c r="D17" s="20"/>
      <c r="E17" s="35" t="str">
        <f t="shared" si="0"/>
        <v/>
      </c>
      <c r="F17" s="20"/>
      <c r="G17" s="20"/>
      <c r="H17" s="36" t="str">
        <f t="shared" si="2"/>
        <v/>
      </c>
      <c r="I17" s="36" t="str">
        <f t="shared" si="1"/>
        <v/>
      </c>
      <c r="J17" s="23"/>
      <c r="K17" s="24"/>
      <c r="L17" s="24"/>
      <c r="M17" s="24"/>
      <c r="N17" s="24"/>
    </row>
    <row r="18" spans="1:14" x14ac:dyDescent="0.25">
      <c r="A18" s="20"/>
      <c r="B18" s="20"/>
      <c r="C18" s="20"/>
      <c r="D18" s="20"/>
      <c r="E18" s="35" t="str">
        <f t="shared" si="0"/>
        <v/>
      </c>
      <c r="F18" s="20"/>
      <c r="G18" s="20"/>
      <c r="H18" s="36" t="str">
        <f t="shared" si="2"/>
        <v/>
      </c>
      <c r="I18" s="36" t="str">
        <f t="shared" si="1"/>
        <v/>
      </c>
      <c r="J18" s="23"/>
      <c r="K18" s="24"/>
      <c r="L18" s="24"/>
      <c r="M18" s="24"/>
      <c r="N18" s="24"/>
    </row>
    <row r="19" spans="1:14" x14ac:dyDescent="0.25">
      <c r="A19" s="20"/>
      <c r="B19" s="20"/>
      <c r="C19" s="20"/>
      <c r="D19" s="20"/>
      <c r="E19" s="35" t="str">
        <f t="shared" si="0"/>
        <v/>
      </c>
      <c r="F19" s="20"/>
      <c r="G19" s="20"/>
      <c r="H19" s="36" t="str">
        <f t="shared" si="2"/>
        <v/>
      </c>
      <c r="I19" s="36" t="str">
        <f t="shared" si="1"/>
        <v/>
      </c>
      <c r="J19" s="23"/>
      <c r="K19" s="24"/>
      <c r="L19" s="24"/>
      <c r="M19" s="24"/>
      <c r="N19" s="24"/>
    </row>
    <row r="20" spans="1:14" x14ac:dyDescent="0.25">
      <c r="A20" s="20"/>
      <c r="B20" s="20"/>
      <c r="C20" s="20"/>
      <c r="D20" s="20"/>
      <c r="E20" s="35" t="str">
        <f t="shared" si="0"/>
        <v/>
      </c>
      <c r="F20" s="20"/>
      <c r="G20" s="20"/>
      <c r="H20" s="36" t="str">
        <f t="shared" si="2"/>
        <v/>
      </c>
      <c r="I20" s="36" t="str">
        <f t="shared" si="1"/>
        <v/>
      </c>
      <c r="J20" s="23"/>
      <c r="K20" s="24"/>
      <c r="L20" s="24"/>
      <c r="M20" s="24"/>
      <c r="N20" s="24"/>
    </row>
    <row r="21" spans="1:14" x14ac:dyDescent="0.25">
      <c r="A21" s="20"/>
      <c r="B21" s="20"/>
      <c r="C21" s="20"/>
      <c r="D21" s="20"/>
      <c r="E21" s="35" t="str">
        <f t="shared" si="0"/>
        <v/>
      </c>
      <c r="F21" s="20"/>
      <c r="G21" s="20"/>
      <c r="H21" s="36" t="str">
        <f t="shared" si="2"/>
        <v/>
      </c>
      <c r="I21" s="36" t="str">
        <f t="shared" si="1"/>
        <v/>
      </c>
      <c r="J21" s="23"/>
      <c r="K21" s="24"/>
      <c r="L21" s="24"/>
      <c r="M21" s="24"/>
      <c r="N21" s="24"/>
    </row>
    <row r="22" spans="1:14" x14ac:dyDescent="0.25">
      <c r="A22" s="20"/>
      <c r="B22" s="20"/>
      <c r="C22" s="20"/>
      <c r="D22" s="20"/>
      <c r="E22" s="35" t="str">
        <f t="shared" si="0"/>
        <v/>
      </c>
      <c r="F22" s="20"/>
      <c r="G22" s="20"/>
      <c r="H22" s="36" t="str">
        <f t="shared" si="2"/>
        <v/>
      </c>
      <c r="I22" s="36" t="str">
        <f t="shared" si="1"/>
        <v/>
      </c>
      <c r="J22" s="23"/>
      <c r="K22" s="24"/>
      <c r="L22" s="24"/>
      <c r="M22" s="24"/>
      <c r="N22" s="24"/>
    </row>
    <row r="23" spans="1:14" x14ac:dyDescent="0.25">
      <c r="A23" s="20"/>
      <c r="B23" s="20"/>
      <c r="C23" s="20"/>
      <c r="D23" s="20"/>
      <c r="E23" s="35" t="str">
        <f t="shared" si="0"/>
        <v/>
      </c>
      <c r="F23" s="20"/>
      <c r="G23" s="20"/>
      <c r="H23" s="36" t="str">
        <f t="shared" si="2"/>
        <v/>
      </c>
      <c r="I23" s="36" t="str">
        <f t="shared" si="1"/>
        <v/>
      </c>
      <c r="J23" s="23"/>
      <c r="K23" s="24"/>
      <c r="L23" s="24"/>
      <c r="M23" s="24"/>
      <c r="N23" s="24"/>
    </row>
    <row r="24" spans="1:14" x14ac:dyDescent="0.25">
      <c r="A24" s="20"/>
      <c r="B24" s="20"/>
      <c r="C24" s="20"/>
      <c r="D24" s="20"/>
      <c r="E24" s="35" t="str">
        <f t="shared" si="0"/>
        <v/>
      </c>
      <c r="F24" s="20"/>
      <c r="G24" s="20"/>
      <c r="H24" s="36" t="str">
        <f t="shared" si="2"/>
        <v/>
      </c>
      <c r="I24" s="36" t="str">
        <f t="shared" si="1"/>
        <v/>
      </c>
      <c r="J24" s="23"/>
      <c r="K24" s="24"/>
      <c r="L24" s="24"/>
      <c r="M24" s="24"/>
      <c r="N24" s="24"/>
    </row>
    <row r="25" spans="1:14" x14ac:dyDescent="0.25">
      <c r="A25" s="20"/>
      <c r="B25" s="20"/>
      <c r="C25" s="20"/>
      <c r="D25" s="20"/>
      <c r="E25" s="35" t="str">
        <f t="shared" si="0"/>
        <v/>
      </c>
      <c r="F25" s="20"/>
      <c r="G25" s="20"/>
      <c r="H25" s="36" t="str">
        <f t="shared" si="2"/>
        <v/>
      </c>
      <c r="I25" s="36" t="str">
        <f t="shared" si="1"/>
        <v/>
      </c>
      <c r="J25" s="23"/>
      <c r="K25" s="24"/>
      <c r="L25" s="24"/>
      <c r="M25" s="24"/>
      <c r="N25" s="24"/>
    </row>
    <row r="26" spans="1:14" x14ac:dyDescent="0.25">
      <c r="A26" s="20"/>
      <c r="B26" s="20"/>
      <c r="C26" s="20"/>
      <c r="D26" s="20"/>
      <c r="E26" s="35" t="str">
        <f t="shared" si="0"/>
        <v/>
      </c>
      <c r="F26" s="20"/>
      <c r="G26" s="20"/>
      <c r="H26" s="36" t="str">
        <f t="shared" si="2"/>
        <v/>
      </c>
      <c r="I26" s="36" t="str">
        <f t="shared" si="1"/>
        <v/>
      </c>
      <c r="J26" s="23"/>
      <c r="K26" s="24"/>
      <c r="L26" s="24"/>
      <c r="M26" s="24"/>
      <c r="N26" s="24"/>
    </row>
    <row r="27" spans="1:14" x14ac:dyDescent="0.25">
      <c r="A27" s="20"/>
      <c r="B27" s="20"/>
      <c r="C27" s="20"/>
      <c r="D27" s="20"/>
      <c r="E27" s="35" t="str">
        <f t="shared" si="0"/>
        <v/>
      </c>
      <c r="F27" s="20"/>
      <c r="G27" s="20"/>
      <c r="H27" s="36" t="str">
        <f t="shared" si="2"/>
        <v/>
      </c>
      <c r="I27" s="36" t="str">
        <f t="shared" si="1"/>
        <v/>
      </c>
      <c r="J27" s="23"/>
      <c r="K27" s="24"/>
      <c r="L27" s="24"/>
      <c r="M27" s="24"/>
      <c r="N27" s="24"/>
    </row>
    <row r="28" spans="1:14" x14ac:dyDescent="0.25">
      <c r="A28" s="20"/>
      <c r="B28" s="20"/>
      <c r="C28" s="20"/>
      <c r="D28" s="20"/>
      <c r="E28" s="35" t="str">
        <f t="shared" si="0"/>
        <v/>
      </c>
      <c r="F28" s="20"/>
      <c r="G28" s="20"/>
      <c r="H28" s="36" t="str">
        <f t="shared" si="2"/>
        <v/>
      </c>
      <c r="I28" s="36" t="str">
        <f t="shared" si="1"/>
        <v/>
      </c>
      <c r="J28" s="23"/>
      <c r="K28" s="24"/>
      <c r="L28" s="24"/>
      <c r="M28" s="24"/>
      <c r="N28" s="24"/>
    </row>
    <row r="29" spans="1:14" x14ac:dyDescent="0.25">
      <c r="A29" s="20"/>
      <c r="B29" s="20"/>
      <c r="C29" s="20"/>
      <c r="D29" s="20"/>
      <c r="E29" s="35" t="str">
        <f t="shared" si="0"/>
        <v/>
      </c>
      <c r="F29" s="20"/>
      <c r="G29" s="20"/>
      <c r="H29" s="36" t="str">
        <f t="shared" si="2"/>
        <v/>
      </c>
      <c r="I29" s="36" t="str">
        <f t="shared" si="1"/>
        <v/>
      </c>
      <c r="J29" s="23"/>
      <c r="K29" s="24"/>
      <c r="L29" s="24"/>
      <c r="M29" s="24"/>
      <c r="N29" s="24"/>
    </row>
    <row r="30" spans="1:14" x14ac:dyDescent="0.25">
      <c r="A30" s="20"/>
      <c r="B30" s="20"/>
      <c r="C30" s="20"/>
      <c r="D30" s="20"/>
      <c r="E30" s="35" t="str">
        <f t="shared" si="0"/>
        <v/>
      </c>
      <c r="F30" s="20"/>
      <c r="G30" s="20"/>
      <c r="H30" s="36" t="str">
        <f t="shared" si="2"/>
        <v/>
      </c>
      <c r="I30" s="36" t="str">
        <f t="shared" si="1"/>
        <v/>
      </c>
      <c r="J30" s="23"/>
      <c r="K30" s="24"/>
      <c r="L30" s="24"/>
      <c r="M30" s="24"/>
      <c r="N30" s="24"/>
    </row>
    <row r="31" spans="1:14" x14ac:dyDescent="0.25">
      <c r="A31" s="20"/>
      <c r="B31" s="20"/>
      <c r="C31" s="20"/>
      <c r="D31" s="20"/>
      <c r="E31" s="35" t="str">
        <f t="shared" si="0"/>
        <v/>
      </c>
      <c r="F31" s="20"/>
      <c r="G31" s="20"/>
      <c r="H31" s="36" t="str">
        <f>IF(G31="No relevant controls",0,
 IF(G31="Controls exist but inadequate",1,
 IF(G31="Partially adequate",2,
 IF(G31="Adequate and effective",3,
 IF(G31="Fully adequate and resilient",4,"")))))</f>
        <v/>
      </c>
      <c r="I31" s="36" t="str">
        <f t="shared" si="1"/>
        <v/>
      </c>
      <c r="J31" s="23"/>
      <c r="K31" s="24"/>
      <c r="L31" s="24"/>
      <c r="M31" s="24"/>
      <c r="N31" s="24"/>
    </row>
    <row r="32" spans="1:14" x14ac:dyDescent="0.25">
      <c r="A32" s="20"/>
      <c r="B32" s="20"/>
      <c r="C32" s="20"/>
      <c r="D32" s="20"/>
      <c r="E32" s="35" t="str">
        <f t="shared" si="0"/>
        <v/>
      </c>
      <c r="F32" s="20"/>
      <c r="G32" s="20"/>
      <c r="H32" s="36" t="str">
        <f>IF(G32="No relevant controls",0,
 IF(G32="Controls exist but inadequate",1,
 IF(G32="Partially adequate",2,
 IF(G32="Adequate and effective",3,
 IF(G32="Fully adequate and resilient",4,"")))))</f>
        <v/>
      </c>
      <c r="I32" s="36"/>
      <c r="J32" s="24"/>
      <c r="K32" s="24"/>
      <c r="L32" s="24"/>
      <c r="M32" s="24"/>
      <c r="N32" s="24"/>
    </row>
    <row r="33" spans="1:14" x14ac:dyDescent="0.25">
      <c r="A33" s="20"/>
      <c r="B33" s="20"/>
      <c r="C33" s="20"/>
      <c r="D33" s="20"/>
      <c r="E33" s="35" t="str">
        <f t="shared" si="0"/>
        <v/>
      </c>
      <c r="F33" s="20"/>
      <c r="G33" s="20"/>
      <c r="H33" s="36"/>
      <c r="I33" s="36"/>
      <c r="J33" s="24"/>
      <c r="K33" s="24"/>
      <c r="L33" s="24"/>
      <c r="M33" s="24"/>
      <c r="N33" s="24"/>
    </row>
    <row r="34" spans="1:14" x14ac:dyDescent="0.25">
      <c r="A34" s="20"/>
      <c r="B34" s="20"/>
      <c r="C34" s="20"/>
      <c r="D34" s="20"/>
      <c r="E34" s="35" t="str">
        <f t="shared" si="0"/>
        <v/>
      </c>
      <c r="F34" s="20"/>
      <c r="G34" s="20"/>
      <c r="H34" s="36"/>
      <c r="I34" s="36"/>
      <c r="J34" s="24"/>
      <c r="K34" s="24"/>
      <c r="L34" s="24"/>
      <c r="M34" s="24"/>
      <c r="N34" s="24"/>
    </row>
    <row r="35" spans="1:14" x14ac:dyDescent="0.25">
      <c r="A35" s="20"/>
      <c r="B35" s="20"/>
      <c r="C35" s="20"/>
      <c r="D35" s="20"/>
      <c r="E35" s="35" t="str">
        <f t="shared" ref="E35:E56" si="3">IF(D35="","",
IF(D35&lt;4,1,
IF(D35&lt;6,2,
IF(D35&lt;7,3,
IF(D35&lt;9,4,
IF(D35&lt;10,5)
)))))</f>
        <v/>
      </c>
      <c r="F35" s="20"/>
      <c r="G35" s="20"/>
      <c r="H35" s="36"/>
      <c r="I35" s="36"/>
      <c r="J35" s="24"/>
      <c r="K35" s="24"/>
      <c r="L35" s="24"/>
      <c r="M35" s="24"/>
      <c r="N35" s="24"/>
    </row>
    <row r="36" spans="1:14" x14ac:dyDescent="0.25">
      <c r="A36" s="20"/>
      <c r="B36" s="20"/>
      <c r="C36" s="20"/>
      <c r="D36" s="20"/>
      <c r="E36" s="35" t="str">
        <f t="shared" si="3"/>
        <v/>
      </c>
      <c r="F36" s="20"/>
      <c r="G36" s="20"/>
      <c r="H36" s="36"/>
      <c r="I36" s="36"/>
      <c r="J36" s="24"/>
      <c r="K36" s="24"/>
      <c r="L36" s="24"/>
      <c r="M36" s="24"/>
      <c r="N36" s="24"/>
    </row>
    <row r="37" spans="1:14" x14ac:dyDescent="0.25">
      <c r="A37" s="20"/>
      <c r="B37" s="20"/>
      <c r="C37" s="20"/>
      <c r="D37" s="20"/>
      <c r="E37" s="35" t="str">
        <f t="shared" si="3"/>
        <v/>
      </c>
      <c r="F37" s="20"/>
      <c r="G37" s="20"/>
      <c r="H37" s="36"/>
      <c r="I37" s="36"/>
      <c r="J37" s="24"/>
      <c r="K37" s="24"/>
      <c r="L37" s="24"/>
      <c r="M37" s="24"/>
      <c r="N37" s="24"/>
    </row>
    <row r="38" spans="1:14" x14ac:dyDescent="0.25">
      <c r="A38" s="20"/>
      <c r="B38" s="20"/>
      <c r="C38" s="20"/>
      <c r="D38" s="20"/>
      <c r="E38" s="35" t="str">
        <f t="shared" si="3"/>
        <v/>
      </c>
      <c r="F38" s="20"/>
      <c r="G38" s="20"/>
      <c r="H38" s="36"/>
      <c r="I38" s="36"/>
      <c r="J38" s="24"/>
      <c r="K38" s="24"/>
      <c r="L38" s="24"/>
      <c r="M38" s="24"/>
      <c r="N38" s="24"/>
    </row>
    <row r="39" spans="1:14" x14ac:dyDescent="0.25">
      <c r="A39" s="20"/>
      <c r="B39" s="20"/>
      <c r="C39" s="20"/>
      <c r="D39" s="20"/>
      <c r="E39" s="35" t="str">
        <f t="shared" si="3"/>
        <v/>
      </c>
      <c r="F39" s="20"/>
      <c r="G39" s="20"/>
      <c r="H39" s="36"/>
      <c r="I39" s="36"/>
      <c r="J39" s="24"/>
      <c r="K39" s="24"/>
      <c r="L39" s="24"/>
      <c r="M39" s="24"/>
      <c r="N39" s="24"/>
    </row>
    <row r="40" spans="1:14" x14ac:dyDescent="0.25">
      <c r="A40" s="20"/>
      <c r="B40" s="20"/>
      <c r="C40" s="20"/>
      <c r="D40" s="20"/>
      <c r="E40" s="35" t="str">
        <f t="shared" si="3"/>
        <v/>
      </c>
      <c r="F40" s="20"/>
      <c r="G40" s="20"/>
      <c r="H40" s="36"/>
      <c r="I40" s="36"/>
      <c r="J40" s="24"/>
      <c r="K40" s="24"/>
      <c r="L40" s="24"/>
      <c r="M40" s="24"/>
      <c r="N40" s="24"/>
    </row>
    <row r="41" spans="1:14" x14ac:dyDescent="0.25">
      <c r="A41" s="20"/>
      <c r="B41" s="20"/>
      <c r="C41" s="20"/>
      <c r="D41" s="20"/>
      <c r="E41" s="35" t="str">
        <f t="shared" si="3"/>
        <v/>
      </c>
      <c r="F41" s="20"/>
      <c r="G41" s="20"/>
      <c r="H41" s="36"/>
      <c r="I41" s="36"/>
      <c r="J41" s="24"/>
      <c r="K41" s="24"/>
      <c r="L41" s="24"/>
      <c r="M41" s="24"/>
      <c r="N41" s="24"/>
    </row>
    <row r="42" spans="1:14" x14ac:dyDescent="0.25">
      <c r="A42" s="20"/>
      <c r="B42" s="20"/>
      <c r="C42" s="20"/>
      <c r="D42" s="20"/>
      <c r="E42" s="35" t="str">
        <f t="shared" si="3"/>
        <v/>
      </c>
      <c r="F42" s="20"/>
      <c r="G42" s="20"/>
      <c r="H42" s="36"/>
      <c r="I42" s="36"/>
      <c r="J42" s="24"/>
      <c r="K42" s="24"/>
      <c r="L42" s="24"/>
      <c r="M42" s="24"/>
      <c r="N42" s="24"/>
    </row>
    <row r="43" spans="1:14" x14ac:dyDescent="0.25">
      <c r="A43" s="20"/>
      <c r="B43" s="20"/>
      <c r="C43" s="20"/>
      <c r="D43" s="20"/>
      <c r="E43" s="35" t="str">
        <f t="shared" si="3"/>
        <v/>
      </c>
      <c r="F43" s="20"/>
      <c r="G43" s="20"/>
      <c r="H43" s="36"/>
      <c r="I43" s="36"/>
      <c r="J43" s="24"/>
      <c r="K43" s="24"/>
      <c r="L43" s="24"/>
      <c r="M43" s="24"/>
      <c r="N43" s="24"/>
    </row>
    <row r="44" spans="1:14" x14ac:dyDescent="0.25">
      <c r="A44" s="20"/>
      <c r="B44" s="20"/>
      <c r="C44" s="20"/>
      <c r="D44" s="20"/>
      <c r="E44" s="35" t="str">
        <f t="shared" si="3"/>
        <v/>
      </c>
      <c r="F44" s="20"/>
      <c r="G44" s="20"/>
      <c r="H44" s="36"/>
      <c r="I44" s="36"/>
      <c r="J44" s="24"/>
      <c r="K44" s="24"/>
      <c r="L44" s="24"/>
      <c r="M44" s="24"/>
      <c r="N44" s="24"/>
    </row>
    <row r="45" spans="1:14" x14ac:dyDescent="0.25">
      <c r="A45" s="20"/>
      <c r="B45" s="20"/>
      <c r="C45" s="20"/>
      <c r="D45" s="20"/>
      <c r="E45" s="35" t="str">
        <f t="shared" si="3"/>
        <v/>
      </c>
      <c r="F45" s="20"/>
      <c r="G45" s="20"/>
      <c r="H45" s="36"/>
      <c r="I45" s="36"/>
      <c r="J45" s="24"/>
      <c r="K45" s="24"/>
      <c r="L45" s="24"/>
      <c r="M45" s="24"/>
      <c r="N45" s="24"/>
    </row>
    <row r="46" spans="1:14" x14ac:dyDescent="0.25">
      <c r="A46" s="20"/>
      <c r="B46" s="20"/>
      <c r="C46" s="20"/>
      <c r="D46" s="20"/>
      <c r="E46" s="35" t="str">
        <f t="shared" si="3"/>
        <v/>
      </c>
      <c r="F46" s="20"/>
      <c r="G46" s="20"/>
      <c r="H46" s="36"/>
      <c r="I46" s="36"/>
      <c r="J46" s="24"/>
      <c r="K46" s="24"/>
      <c r="L46" s="24"/>
      <c r="M46" s="24"/>
      <c r="N46" s="24"/>
    </row>
    <row r="47" spans="1:14" x14ac:dyDescent="0.25">
      <c r="A47" s="20"/>
      <c r="B47" s="20"/>
      <c r="C47" s="20"/>
      <c r="D47" s="20"/>
      <c r="E47" s="35" t="str">
        <f t="shared" si="3"/>
        <v/>
      </c>
      <c r="F47" s="20"/>
      <c r="G47" s="20"/>
      <c r="H47" s="36"/>
      <c r="I47" s="36"/>
      <c r="J47" s="24"/>
      <c r="K47" s="24"/>
      <c r="L47" s="24"/>
      <c r="M47" s="24"/>
      <c r="N47" s="24"/>
    </row>
    <row r="48" spans="1:14" x14ac:dyDescent="0.25">
      <c r="A48" s="20"/>
      <c r="B48" s="20"/>
      <c r="C48" s="20"/>
      <c r="D48" s="20"/>
      <c r="E48" s="35" t="str">
        <f t="shared" si="3"/>
        <v/>
      </c>
      <c r="F48" s="20"/>
      <c r="G48" s="20"/>
      <c r="H48" s="36"/>
      <c r="I48" s="36"/>
      <c r="J48" s="24"/>
      <c r="K48" s="24"/>
      <c r="L48" s="24"/>
      <c r="M48" s="24"/>
      <c r="N48" s="24"/>
    </row>
    <row r="49" spans="1:14" x14ac:dyDescent="0.25">
      <c r="A49" s="20"/>
      <c r="B49" s="20"/>
      <c r="C49" s="20"/>
      <c r="D49" s="20"/>
      <c r="E49" s="35" t="str">
        <f t="shared" si="3"/>
        <v/>
      </c>
      <c r="F49" s="20"/>
      <c r="G49" s="20"/>
      <c r="H49" s="36"/>
      <c r="I49" s="36"/>
      <c r="J49" s="24"/>
      <c r="K49" s="24"/>
      <c r="L49" s="24"/>
      <c r="M49" s="24"/>
      <c r="N49" s="24"/>
    </row>
    <row r="50" spans="1:14" x14ac:dyDescent="0.25">
      <c r="A50" s="20"/>
      <c r="B50" s="20"/>
      <c r="C50" s="20"/>
      <c r="D50" s="20"/>
      <c r="E50" s="35" t="str">
        <f t="shared" si="3"/>
        <v/>
      </c>
      <c r="F50" s="20"/>
      <c r="G50" s="20"/>
      <c r="H50" s="36"/>
      <c r="I50" s="36"/>
      <c r="J50" s="24"/>
      <c r="K50" s="24"/>
      <c r="L50" s="24"/>
      <c r="M50" s="24"/>
      <c r="N50" s="24"/>
    </row>
    <row r="51" spans="1:14" x14ac:dyDescent="0.25">
      <c r="A51" s="20"/>
      <c r="B51" s="20"/>
      <c r="C51" s="20"/>
      <c r="D51" s="20"/>
      <c r="E51" s="35" t="str">
        <f t="shared" si="3"/>
        <v/>
      </c>
      <c r="F51" s="20"/>
      <c r="G51" s="20"/>
      <c r="H51" s="36"/>
      <c r="I51" s="36"/>
      <c r="J51" s="24"/>
      <c r="K51" s="24"/>
      <c r="L51" s="24"/>
      <c r="M51" s="24"/>
      <c r="N51" s="24"/>
    </row>
    <row r="52" spans="1:14" x14ac:dyDescent="0.25">
      <c r="A52" s="20"/>
      <c r="B52" s="20"/>
      <c r="C52" s="20"/>
      <c r="D52" s="20"/>
      <c r="E52" s="35" t="str">
        <f t="shared" si="3"/>
        <v/>
      </c>
      <c r="F52" s="20"/>
      <c r="G52" s="20"/>
      <c r="H52" s="36"/>
      <c r="I52" s="36"/>
      <c r="J52" s="24"/>
      <c r="K52" s="24"/>
      <c r="L52" s="24"/>
      <c r="M52" s="24"/>
      <c r="N52" s="24"/>
    </row>
    <row r="53" spans="1:14" x14ac:dyDescent="0.25">
      <c r="A53" s="20"/>
      <c r="B53" s="20"/>
      <c r="C53" s="20"/>
      <c r="D53" s="20"/>
      <c r="E53" s="35" t="str">
        <f t="shared" si="3"/>
        <v/>
      </c>
      <c r="F53" s="20"/>
      <c r="G53" s="20"/>
      <c r="H53" s="36"/>
      <c r="I53" s="36"/>
      <c r="J53" s="24"/>
      <c r="K53" s="24"/>
      <c r="L53" s="24"/>
      <c r="M53" s="24"/>
      <c r="N53" s="24"/>
    </row>
    <row r="54" spans="1:14" x14ac:dyDescent="0.25">
      <c r="A54" s="20"/>
      <c r="B54" s="20"/>
      <c r="C54" s="20"/>
      <c r="D54" s="20"/>
      <c r="E54" s="35" t="str">
        <f t="shared" si="3"/>
        <v/>
      </c>
      <c r="F54" s="20"/>
      <c r="G54" s="20"/>
      <c r="H54" s="36"/>
      <c r="I54" s="36"/>
      <c r="J54" s="24"/>
      <c r="K54" s="24"/>
      <c r="L54" s="24"/>
      <c r="M54" s="24"/>
      <c r="N54" s="24"/>
    </row>
    <row r="55" spans="1:14" x14ac:dyDescent="0.25">
      <c r="A55" s="20"/>
      <c r="B55" s="20"/>
      <c r="C55" s="20"/>
      <c r="D55" s="20"/>
      <c r="E55" s="35" t="str">
        <f t="shared" si="3"/>
        <v/>
      </c>
      <c r="F55" s="20"/>
      <c r="G55" s="20"/>
      <c r="H55" s="36"/>
      <c r="I55" s="36"/>
      <c r="J55" s="24"/>
      <c r="K55" s="24"/>
      <c r="L55" s="24"/>
      <c r="M55" s="24"/>
      <c r="N55" s="24"/>
    </row>
    <row r="56" spans="1:14" x14ac:dyDescent="0.25">
      <c r="A56" s="20"/>
      <c r="B56" s="20"/>
      <c r="C56" s="20"/>
      <c r="D56" s="20"/>
      <c r="E56" s="35" t="str">
        <f t="shared" si="3"/>
        <v/>
      </c>
      <c r="F56" s="20"/>
      <c r="G56" s="20"/>
      <c r="H56" s="36"/>
      <c r="I56" s="36"/>
      <c r="J56" s="24"/>
      <c r="K56" s="24"/>
      <c r="L56" s="24"/>
      <c r="M56" s="24"/>
      <c r="N56" s="24"/>
    </row>
  </sheetData>
  <sheetProtection algorithmName="SHA-512" hashValue="XIi6tzazo7PUl30AGsfmrM7ghUyoVFxPKC+dpqiuR1dYvs8PHWiZfbyu5N/4rMjgLei4i14wwe2xqtlNLwSULw==" saltValue="4TGrUrOGY+DTiBtWNqB9LA==" spinCount="100000" sheet="1" objects="1" scenarios="1" selectLockedCells="1"/>
  <mergeCells count="2">
    <mergeCell ref="J1:L5"/>
    <mergeCell ref="M1:N1"/>
  </mergeCells>
  <dataValidations count="1">
    <dataValidation type="list" allowBlank="1" showInputMessage="1" showErrorMessage="1" sqref="G2:G32">
      <formula1>$M$2:$M$6</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J32"/>
  <sheetViews>
    <sheetView workbookViewId="0">
      <selection activeCell="B2" sqref="B2"/>
    </sheetView>
  </sheetViews>
  <sheetFormatPr defaultRowHeight="13.8" x14ac:dyDescent="0.25"/>
  <cols>
    <col min="1" max="1" width="9" style="16" customWidth="1"/>
    <col min="2" max="2" width="19.5" style="16" customWidth="1"/>
    <col min="3" max="3" width="24" style="16" customWidth="1"/>
    <col min="4" max="4" width="9.8984375" style="16" customWidth="1"/>
    <col min="5" max="5" width="24" style="34" customWidth="1"/>
    <col min="6" max="6" width="12.296875" style="16" customWidth="1"/>
    <col min="7" max="7" width="19.3984375" style="39" customWidth="1"/>
    <col min="8" max="8" width="28.3984375" style="16" customWidth="1"/>
    <col min="9" max="9" width="8.09765625" style="16" customWidth="1"/>
    <col min="10" max="10" width="38" style="16" customWidth="1"/>
  </cols>
  <sheetData>
    <row r="1" spans="1:10" ht="27.6" x14ac:dyDescent="0.25">
      <c r="A1" s="42" t="s">
        <v>12</v>
      </c>
      <c r="B1" s="42" t="s">
        <v>122</v>
      </c>
      <c r="C1" s="42" t="s">
        <v>39</v>
      </c>
      <c r="D1" s="42" t="s">
        <v>81</v>
      </c>
      <c r="E1" s="54" t="s">
        <v>131</v>
      </c>
      <c r="F1" s="42" t="s">
        <v>42</v>
      </c>
      <c r="G1" s="69" t="s">
        <v>13</v>
      </c>
      <c r="H1" s="42" t="s">
        <v>101</v>
      </c>
      <c r="I1" s="42" t="s">
        <v>40</v>
      </c>
      <c r="J1" s="42" t="s">
        <v>7</v>
      </c>
    </row>
    <row r="2" spans="1:10" ht="27.6" x14ac:dyDescent="0.25">
      <c r="A2" s="22" t="s">
        <v>128</v>
      </c>
      <c r="B2" s="22" t="s">
        <v>129</v>
      </c>
      <c r="C2" s="22" t="s">
        <v>130</v>
      </c>
      <c r="D2" s="22" t="s">
        <v>132</v>
      </c>
      <c r="E2" s="37" t="str">
        <f>IF(Vulnerabilities!B2="","",Vulnerabilities!B2)</f>
        <v>Weak Password Policy</v>
      </c>
      <c r="F2" s="22" t="s">
        <v>123</v>
      </c>
      <c r="G2" s="38" t="s">
        <v>44</v>
      </c>
      <c r="H2" s="22" t="s">
        <v>142</v>
      </c>
      <c r="I2" s="22" t="s">
        <v>46</v>
      </c>
      <c r="J2" s="22"/>
    </row>
    <row r="3" spans="1:10" x14ac:dyDescent="0.25">
      <c r="A3" s="22"/>
      <c r="B3" s="22"/>
      <c r="C3" s="22"/>
      <c r="D3" s="22"/>
      <c r="E3" s="37" t="str">
        <f>IF(Vulnerabilities!B3="","",Vulnerabilities!B3)</f>
        <v/>
      </c>
      <c r="F3" s="22"/>
      <c r="G3" s="38" t="s">
        <v>44</v>
      </c>
      <c r="H3" s="22"/>
      <c r="I3" s="22"/>
      <c r="J3" s="22"/>
    </row>
    <row r="4" spans="1:10" x14ac:dyDescent="0.25">
      <c r="A4" s="22"/>
      <c r="B4" s="22"/>
      <c r="C4" s="22"/>
      <c r="D4" s="22"/>
      <c r="E4" s="37" t="str">
        <f>IF(Vulnerabilities!B4="","",Vulnerabilities!B4)</f>
        <v/>
      </c>
      <c r="F4" s="22"/>
      <c r="G4" s="38"/>
      <c r="H4" s="22"/>
      <c r="I4" s="22"/>
      <c r="J4" s="22"/>
    </row>
    <row r="5" spans="1:10" x14ac:dyDescent="0.25">
      <c r="A5" s="22"/>
      <c r="B5" s="22"/>
      <c r="C5" s="22"/>
      <c r="D5" s="22"/>
      <c r="E5" s="37" t="str">
        <f>IF(Vulnerabilities!B5="","",Vulnerabilities!B5)</f>
        <v/>
      </c>
      <c r="F5" s="22"/>
      <c r="G5" s="38"/>
      <c r="H5" s="22"/>
      <c r="I5" s="22"/>
      <c r="J5" s="22"/>
    </row>
    <row r="6" spans="1:10" x14ac:dyDescent="0.25">
      <c r="A6" s="22"/>
      <c r="B6" s="22"/>
      <c r="C6" s="22"/>
      <c r="D6" s="22"/>
      <c r="E6" s="37" t="str">
        <f>IF(Vulnerabilities!B6="","",Vulnerabilities!B6)</f>
        <v/>
      </c>
      <c r="F6" s="22"/>
      <c r="G6" s="38"/>
      <c r="H6" s="22"/>
      <c r="I6" s="22"/>
      <c r="J6" s="22"/>
    </row>
    <row r="7" spans="1:10" x14ac:dyDescent="0.25">
      <c r="A7" s="22"/>
      <c r="B7" s="22"/>
      <c r="C7" s="22"/>
      <c r="D7" s="22"/>
      <c r="E7" s="37" t="str">
        <f>IF(Vulnerabilities!B7="","",Vulnerabilities!B7)</f>
        <v/>
      </c>
      <c r="F7" s="22"/>
      <c r="G7" s="38"/>
      <c r="H7" s="22"/>
      <c r="I7" s="22"/>
      <c r="J7" s="22"/>
    </row>
    <row r="8" spans="1:10" x14ac:dyDescent="0.25">
      <c r="A8" s="22"/>
      <c r="B8" s="22"/>
      <c r="C8" s="22"/>
      <c r="D8" s="22"/>
      <c r="E8" s="37" t="str">
        <f>IF(Vulnerabilities!B8="","",Vulnerabilities!B8)</f>
        <v/>
      </c>
      <c r="F8" s="22"/>
      <c r="G8" s="38"/>
      <c r="H8" s="22"/>
      <c r="I8" s="22"/>
      <c r="J8" s="22"/>
    </row>
    <row r="9" spans="1:10" x14ac:dyDescent="0.25">
      <c r="A9" s="22"/>
      <c r="B9" s="22"/>
      <c r="C9" s="22"/>
      <c r="D9" s="22"/>
      <c r="E9" s="37" t="str">
        <f>IF(Vulnerabilities!B9="","",Vulnerabilities!B9)</f>
        <v/>
      </c>
      <c r="F9" s="22"/>
      <c r="G9" s="38"/>
      <c r="H9" s="22"/>
      <c r="I9" s="22"/>
      <c r="J9" s="22"/>
    </row>
    <row r="10" spans="1:10" x14ac:dyDescent="0.25">
      <c r="A10" s="22"/>
      <c r="B10" s="22"/>
      <c r="C10" s="22"/>
      <c r="D10" s="22"/>
      <c r="E10" s="37" t="str">
        <f>IF(Vulnerabilities!B10="","",Vulnerabilities!B10)</f>
        <v/>
      </c>
      <c r="F10" s="22"/>
      <c r="G10" s="38"/>
      <c r="H10" s="22"/>
      <c r="I10" s="22"/>
      <c r="J10" s="22"/>
    </row>
    <row r="11" spans="1:10" x14ac:dyDescent="0.25">
      <c r="A11" s="22"/>
      <c r="B11" s="22"/>
      <c r="C11" s="22"/>
      <c r="D11" s="22"/>
      <c r="E11" s="37" t="str">
        <f>IF(Vulnerabilities!B11="","",Vulnerabilities!B11)</f>
        <v/>
      </c>
      <c r="F11" s="22"/>
      <c r="G11" s="38"/>
      <c r="H11" s="22"/>
      <c r="I11" s="22"/>
      <c r="J11" s="22"/>
    </row>
    <row r="12" spans="1:10" x14ac:dyDescent="0.25">
      <c r="A12" s="22"/>
      <c r="B12" s="22"/>
      <c r="C12" s="22"/>
      <c r="D12" s="22"/>
      <c r="E12" s="37" t="str">
        <f>IF(Vulnerabilities!B12="","",Vulnerabilities!B12)</f>
        <v/>
      </c>
      <c r="F12" s="22"/>
      <c r="G12" s="38"/>
      <c r="H12" s="22"/>
      <c r="I12" s="22"/>
      <c r="J12" s="22"/>
    </row>
    <row r="13" spans="1:10" x14ac:dyDescent="0.25">
      <c r="A13" s="22"/>
      <c r="B13" s="22"/>
      <c r="C13" s="22"/>
      <c r="D13" s="22"/>
      <c r="E13" s="37" t="str">
        <f>IF(Vulnerabilities!B13="","",Vulnerabilities!B13)</f>
        <v/>
      </c>
      <c r="F13" s="22"/>
      <c r="G13" s="38"/>
      <c r="H13" s="22"/>
      <c r="I13" s="22"/>
      <c r="J13" s="22"/>
    </row>
    <row r="14" spans="1:10" x14ac:dyDescent="0.25">
      <c r="A14" s="22"/>
      <c r="B14" s="22"/>
      <c r="C14" s="22"/>
      <c r="D14" s="22"/>
      <c r="E14" s="37" t="str">
        <f>IF(Vulnerabilities!B14="","",Vulnerabilities!B14)</f>
        <v/>
      </c>
      <c r="F14" s="22"/>
      <c r="G14" s="38"/>
      <c r="H14" s="22"/>
      <c r="I14" s="22"/>
      <c r="J14" s="22"/>
    </row>
    <row r="15" spans="1:10" x14ac:dyDescent="0.25">
      <c r="A15" s="22"/>
      <c r="B15" s="22"/>
      <c r="C15" s="22"/>
      <c r="D15" s="22"/>
      <c r="E15" s="37" t="str">
        <f>IF(Vulnerabilities!B15="","",Vulnerabilities!B15)</f>
        <v/>
      </c>
      <c r="F15" s="22"/>
      <c r="G15" s="38"/>
      <c r="H15" s="22"/>
      <c r="I15" s="22"/>
      <c r="J15" s="22"/>
    </row>
    <row r="16" spans="1:10" x14ac:dyDescent="0.25">
      <c r="A16" s="22"/>
      <c r="B16" s="22"/>
      <c r="C16" s="22"/>
      <c r="D16" s="22"/>
      <c r="E16" s="37" t="str">
        <f>IF(Vulnerabilities!B16="","",Vulnerabilities!B16)</f>
        <v/>
      </c>
      <c r="F16" s="22"/>
      <c r="G16" s="38"/>
      <c r="H16" s="22"/>
      <c r="I16" s="22"/>
      <c r="J16" s="22"/>
    </row>
    <row r="17" spans="1:10" x14ac:dyDescent="0.25">
      <c r="A17" s="22"/>
      <c r="B17" s="22"/>
      <c r="C17" s="22"/>
      <c r="D17" s="22"/>
      <c r="E17" s="37" t="str">
        <f>IF(Vulnerabilities!B17="","",Vulnerabilities!B17)</f>
        <v/>
      </c>
      <c r="F17" s="22"/>
      <c r="G17" s="38"/>
      <c r="H17" s="22"/>
      <c r="I17" s="22"/>
      <c r="J17" s="22"/>
    </row>
    <row r="18" spans="1:10" x14ac:dyDescent="0.25">
      <c r="A18" s="22"/>
      <c r="B18" s="22"/>
      <c r="C18" s="22"/>
      <c r="D18" s="22"/>
      <c r="E18" s="37" t="str">
        <f>IF(Vulnerabilities!B18="","",Vulnerabilities!B18)</f>
        <v/>
      </c>
      <c r="F18" s="22"/>
      <c r="G18" s="38"/>
      <c r="H18" s="22"/>
      <c r="I18" s="22"/>
      <c r="J18" s="22"/>
    </row>
    <row r="19" spans="1:10" x14ac:dyDescent="0.25">
      <c r="A19" s="22"/>
      <c r="B19" s="22"/>
      <c r="C19" s="22"/>
      <c r="D19" s="22"/>
      <c r="E19" s="37" t="str">
        <f>IF(Vulnerabilities!B19="","",Vulnerabilities!B19)</f>
        <v/>
      </c>
      <c r="F19" s="22"/>
      <c r="G19" s="38"/>
      <c r="H19" s="22"/>
      <c r="I19" s="22"/>
      <c r="J19" s="22"/>
    </row>
    <row r="20" spans="1:10" x14ac:dyDescent="0.25">
      <c r="A20" s="22"/>
      <c r="B20" s="22"/>
      <c r="C20" s="22"/>
      <c r="D20" s="22"/>
      <c r="E20" s="37" t="str">
        <f>IF(Vulnerabilities!B20="","",Vulnerabilities!B20)</f>
        <v/>
      </c>
      <c r="F20" s="22"/>
      <c r="G20" s="38"/>
      <c r="H20" s="22"/>
      <c r="I20" s="22"/>
      <c r="J20" s="22"/>
    </row>
    <row r="21" spans="1:10" x14ac:dyDescent="0.25">
      <c r="A21" s="22"/>
      <c r="B21" s="22"/>
      <c r="C21" s="22"/>
      <c r="D21" s="22"/>
      <c r="E21" s="37" t="str">
        <f>IF(Vulnerabilities!B21="","",Vulnerabilities!B21)</f>
        <v/>
      </c>
      <c r="F21" s="22"/>
      <c r="G21" s="38"/>
      <c r="H21" s="22"/>
      <c r="I21" s="22"/>
      <c r="J21" s="22"/>
    </row>
    <row r="22" spans="1:10" x14ac:dyDescent="0.25">
      <c r="A22" s="22"/>
      <c r="B22" s="22"/>
      <c r="C22" s="22"/>
      <c r="D22" s="22"/>
      <c r="E22" s="37" t="str">
        <f>IF(Vulnerabilities!B22="","",Vulnerabilities!B22)</f>
        <v/>
      </c>
      <c r="F22" s="22"/>
      <c r="G22" s="38"/>
      <c r="H22" s="22"/>
      <c r="I22" s="22"/>
      <c r="J22" s="22"/>
    </row>
    <row r="23" spans="1:10" x14ac:dyDescent="0.25">
      <c r="A23" s="22"/>
      <c r="B23" s="22"/>
      <c r="C23" s="22"/>
      <c r="D23" s="22"/>
      <c r="E23" s="37" t="str">
        <f>IF(Vulnerabilities!B23="","",Vulnerabilities!B23)</f>
        <v/>
      </c>
      <c r="F23" s="22"/>
      <c r="G23" s="38"/>
      <c r="H23" s="22"/>
      <c r="I23" s="22"/>
      <c r="J23" s="22"/>
    </row>
    <row r="24" spans="1:10" x14ac:dyDescent="0.25">
      <c r="A24" s="22"/>
      <c r="B24" s="22"/>
      <c r="C24" s="22"/>
      <c r="D24" s="22"/>
      <c r="E24" s="37" t="str">
        <f>IF(Vulnerabilities!B24="","",Vulnerabilities!B24)</f>
        <v/>
      </c>
      <c r="F24" s="22"/>
      <c r="G24" s="38"/>
      <c r="H24" s="22"/>
      <c r="I24" s="22"/>
      <c r="J24" s="22"/>
    </row>
    <row r="25" spans="1:10" x14ac:dyDescent="0.25">
      <c r="A25" s="22"/>
      <c r="B25" s="22"/>
      <c r="C25" s="22"/>
      <c r="D25" s="22"/>
      <c r="E25" s="37" t="str">
        <f>IF(Vulnerabilities!B25="","",Vulnerabilities!B25)</f>
        <v/>
      </c>
      <c r="F25" s="22"/>
      <c r="G25" s="38"/>
      <c r="H25" s="22"/>
      <c r="I25" s="22"/>
      <c r="J25" s="22"/>
    </row>
    <row r="26" spans="1:10" x14ac:dyDescent="0.25">
      <c r="A26" s="22"/>
      <c r="B26" s="22"/>
      <c r="C26" s="22"/>
      <c r="D26" s="22"/>
      <c r="E26" s="37" t="str">
        <f>IF(Vulnerabilities!B26="","",Vulnerabilities!B26)</f>
        <v/>
      </c>
      <c r="F26" s="22"/>
      <c r="G26" s="38"/>
      <c r="H26" s="22"/>
      <c r="I26" s="22"/>
      <c r="J26" s="22"/>
    </row>
    <row r="27" spans="1:10" x14ac:dyDescent="0.25">
      <c r="A27" s="22"/>
      <c r="B27" s="22"/>
      <c r="C27" s="22"/>
      <c r="D27" s="22"/>
      <c r="E27" s="37" t="str">
        <f>IF(Vulnerabilities!B27="","",Vulnerabilities!B27)</f>
        <v/>
      </c>
      <c r="F27" s="22"/>
      <c r="G27" s="38"/>
      <c r="H27" s="22"/>
      <c r="I27" s="22"/>
      <c r="J27" s="22"/>
    </row>
    <row r="28" spans="1:10" x14ac:dyDescent="0.25">
      <c r="A28" s="22"/>
      <c r="B28" s="22"/>
      <c r="C28" s="22"/>
      <c r="D28" s="22"/>
      <c r="E28" s="37" t="str">
        <f>IF(Vulnerabilities!B28="","",Vulnerabilities!B28)</f>
        <v/>
      </c>
      <c r="F28" s="22"/>
      <c r="G28" s="38"/>
      <c r="H28" s="22"/>
      <c r="I28" s="22"/>
      <c r="J28" s="22"/>
    </row>
    <row r="29" spans="1:10" x14ac:dyDescent="0.25">
      <c r="A29" s="22"/>
      <c r="B29" s="22"/>
      <c r="C29" s="22"/>
      <c r="D29" s="22"/>
      <c r="E29" s="37" t="str">
        <f>IF(Vulnerabilities!B29="","",Vulnerabilities!B29)</f>
        <v/>
      </c>
      <c r="F29" s="22"/>
      <c r="G29" s="38"/>
      <c r="H29" s="22"/>
      <c r="I29" s="22"/>
      <c r="J29" s="22"/>
    </row>
    <row r="30" spans="1:10" x14ac:dyDescent="0.25">
      <c r="A30" s="22"/>
      <c r="B30" s="22"/>
      <c r="C30" s="22"/>
      <c r="D30" s="22"/>
      <c r="E30" s="37" t="str">
        <f>IF(Vulnerabilities!B30="","",Vulnerabilities!B30)</f>
        <v/>
      </c>
      <c r="F30" s="22"/>
      <c r="G30" s="38"/>
      <c r="H30" s="22"/>
      <c r="I30" s="22"/>
      <c r="J30" s="22"/>
    </row>
    <row r="31" spans="1:10" x14ac:dyDescent="0.25">
      <c r="A31" s="22"/>
      <c r="B31" s="22"/>
      <c r="C31" s="22"/>
      <c r="D31" s="22"/>
      <c r="E31" s="37" t="str">
        <f>IF(Vulnerabilities!B31="","",Vulnerabilities!B31)</f>
        <v/>
      </c>
      <c r="F31" s="22"/>
      <c r="G31" s="38"/>
      <c r="H31" s="22"/>
      <c r="I31" s="22"/>
      <c r="J31" s="22"/>
    </row>
    <row r="32" spans="1:10" x14ac:dyDescent="0.25">
      <c r="A32" s="22"/>
      <c r="B32" s="22"/>
      <c r="C32" s="22"/>
      <c r="D32" s="22"/>
      <c r="E32" s="37" t="str">
        <f>IF(Vulnerabilities!B32="","",Vulnerabilities!B32)</f>
        <v/>
      </c>
      <c r="F32" s="22"/>
      <c r="G32" s="38"/>
      <c r="H32" s="22"/>
      <c r="I32" s="22"/>
      <c r="J32" s="22"/>
    </row>
  </sheetData>
  <sheetProtection algorithmName="SHA-512" hashValue="yUfvcfdG3YfHwu4MMmxkJ25opF5+MqYoTmEOFBZRgowkn9jGepbx6T0QtdKpnytDR8Es6s4VNKm8lq5JIVfErg==" saltValue="td/L5mYouRQM2NHSxD7skQ==" spinCount="100000" sheet="1" objects="1" scenarios="1" selectLockedCells="1"/>
  <dataValidations count="4">
    <dataValidation type="list" allowBlank="1" showInputMessage="1" showErrorMessage="1" sqref="C2:C128">
      <formula1>"phisical,Natural,Infrastructure Failures,Technical Failures,human actions,Compromise of functions or Services,organizational"</formula1>
    </dataValidation>
    <dataValidation allowBlank="1" showInputMessage="1" showErrorMessage="1" promptTitle="myuk," sqref="A2:A31"/>
    <dataValidation type="list" allowBlank="1" showInputMessage="1" showErrorMessage="1" promptTitle="explainatin" prompt="A=Accedental_x000a_D=Deliberate_x000a_E=Envirumental" sqref="F2:F177">
      <mc:AlternateContent xmlns:x12ac="http://schemas.microsoft.com/office/spreadsheetml/2011/1/ac" xmlns:mc="http://schemas.openxmlformats.org/markup-compatibility/2006">
        <mc:Choice Requires="x12ac">
          <x12ac:list>A,D,E,"A,D","A,E","D,E","A,D,E"</x12ac:list>
        </mc:Choice>
        <mc:Fallback>
          <formula1>"A,D,E,A,D,A,E,D,E,A,D,E"</formula1>
        </mc:Fallback>
      </mc:AlternateContent>
    </dataValidation>
    <dataValidation type="list" allowBlank="1" showInputMessage="1" showErrorMessage="1" sqref="D2:D31">
      <formula1>"External,Entrenal"</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14:formula1>
            <xm:f>Business_Assets!$B$2:$B$30</xm:f>
          </x14:formula1>
          <xm:sqref>G2:G32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I501"/>
  <sheetViews>
    <sheetView topLeftCell="A7" workbookViewId="0">
      <selection activeCell="E2" sqref="E2"/>
    </sheetView>
  </sheetViews>
  <sheetFormatPr defaultRowHeight="13.8" x14ac:dyDescent="0.25"/>
  <cols>
    <col min="1" max="1" width="10.296875" style="33" customWidth="1"/>
    <col min="2" max="2" width="27.3984375" style="34" customWidth="1"/>
    <col min="3" max="3" width="27.5" style="34" customWidth="1"/>
    <col min="4" max="4" width="14.19921875" style="34" customWidth="1"/>
    <col min="5" max="5" width="15.09765625" style="16" customWidth="1"/>
    <col min="6" max="6" width="11.09765625" style="34" customWidth="1"/>
    <col min="9" max="9" width="44" customWidth="1"/>
  </cols>
  <sheetData>
    <row r="1" spans="1:9" ht="41.4" x14ac:dyDescent="0.25">
      <c r="A1" s="33" t="s">
        <v>40</v>
      </c>
      <c r="B1" s="33" t="s">
        <v>82</v>
      </c>
      <c r="C1" s="33" t="str">
        <f>IF(Vulnerabilities!B1="","",Vulnerabilities!B1)</f>
        <v>Vulnerability</v>
      </c>
      <c r="D1" s="37" t="s">
        <v>84</v>
      </c>
      <c r="E1" s="42" t="s">
        <v>48</v>
      </c>
      <c r="F1" s="33" t="s">
        <v>57</v>
      </c>
      <c r="G1" s="108" t="s">
        <v>58</v>
      </c>
      <c r="H1" s="108"/>
      <c r="I1" s="108"/>
    </row>
    <row r="2" spans="1:9" ht="27.6" x14ac:dyDescent="0.25">
      <c r="A2" s="33" t="str">
        <f>IF(Risk_Scenarios!I2="","",Risk_Scenarios!I2)</f>
        <v>R-01</v>
      </c>
      <c r="B2" s="37" t="str">
        <f>IF(Risk_Scenarios!B2="","",Risk_Scenarios!B2)</f>
        <v>Unauthorized access by an attacker</v>
      </c>
      <c r="C2" s="33" t="str">
        <f>IF(Vulnerabilities!B2="","",Vulnerabilities!B2)</f>
        <v>Weak Password Policy</v>
      </c>
      <c r="D2" s="33">
        <f>IF(Vulnerabilities!I2="","",Vulnerabilities!I2)</f>
        <v>4</v>
      </c>
      <c r="E2" s="17">
        <v>4</v>
      </c>
      <c r="F2" s="33">
        <f>IFERROR(ROUNDUP((D2*E2)/5,0),"")</f>
        <v>4</v>
      </c>
      <c r="G2" s="44" t="s">
        <v>59</v>
      </c>
      <c r="H2" s="44" t="s">
        <v>56</v>
      </c>
      <c r="I2" s="44" t="s">
        <v>41</v>
      </c>
    </row>
    <row r="3" spans="1:9" x14ac:dyDescent="0.25">
      <c r="A3" s="33" t="str">
        <f>IF(Risk_Scenarios!I3="","",Risk_Scenarios!I3)</f>
        <v/>
      </c>
      <c r="B3" s="33" t="str">
        <f>IF(Risk_Scenarios!B3="","",Risk_Scenarios!B3)</f>
        <v/>
      </c>
      <c r="C3" s="33" t="str">
        <f>IF(Vulnerabilities!B3="","",Vulnerabilities!B3)</f>
        <v/>
      </c>
      <c r="D3" s="33" t="str">
        <f>IF(Vulnerabilities!I3="","",Vulnerabilities!I3)</f>
        <v/>
      </c>
      <c r="E3" s="17"/>
      <c r="F3" s="33" t="str">
        <f t="shared" ref="F3:F31" si="0">IFERROR(ROUNDUP((D3*E3)/5,0),"")</f>
        <v/>
      </c>
      <c r="G3" s="43">
        <v>1</v>
      </c>
      <c r="H3" s="43" t="s">
        <v>60</v>
      </c>
      <c r="I3" s="43" t="s">
        <v>65</v>
      </c>
    </row>
    <row r="4" spans="1:9" x14ac:dyDescent="0.25">
      <c r="A4" s="33" t="str">
        <f>IF(Risk_Scenarios!I4="","",Risk_Scenarios!I4)</f>
        <v/>
      </c>
      <c r="B4" s="33" t="str">
        <f>IF(Risk_Scenarios!B4="","",Risk_Scenarios!B4)</f>
        <v/>
      </c>
      <c r="C4" s="33" t="str">
        <f>IF(Vulnerabilities!B4="","",Vulnerabilities!B4)</f>
        <v/>
      </c>
      <c r="D4" s="33" t="str">
        <f>IF(Vulnerabilities!I4="","",Vulnerabilities!I4)</f>
        <v/>
      </c>
      <c r="E4" s="17"/>
      <c r="F4" s="33" t="str">
        <f t="shared" si="0"/>
        <v/>
      </c>
      <c r="G4" s="43">
        <v>2</v>
      </c>
      <c r="H4" s="43" t="s">
        <v>61</v>
      </c>
      <c r="I4" s="43" t="s">
        <v>66</v>
      </c>
    </row>
    <row r="5" spans="1:9" x14ac:dyDescent="0.25">
      <c r="A5" s="33" t="str">
        <f>IF(Risk_Scenarios!I5="","",Risk_Scenarios!I5)</f>
        <v/>
      </c>
      <c r="B5" s="33" t="str">
        <f>IF(Risk_Scenarios!B5="","",Risk_Scenarios!B5)</f>
        <v/>
      </c>
      <c r="C5" s="33" t="str">
        <f>IF(Vulnerabilities!B5="","",Vulnerabilities!B5)</f>
        <v/>
      </c>
      <c r="D5" s="33" t="str">
        <f>IF(Vulnerabilities!I5="","",Vulnerabilities!I5)</f>
        <v/>
      </c>
      <c r="E5" s="17"/>
      <c r="F5" s="33" t="str">
        <f t="shared" si="0"/>
        <v/>
      </c>
      <c r="G5" s="43">
        <v>3</v>
      </c>
      <c r="H5" s="43" t="s">
        <v>62</v>
      </c>
      <c r="I5" s="43" t="s">
        <v>67</v>
      </c>
    </row>
    <row r="6" spans="1:9" x14ac:dyDescent="0.25">
      <c r="A6" s="33" t="str">
        <f>IF(Risk_Scenarios!I6="","",Risk_Scenarios!I6)</f>
        <v/>
      </c>
      <c r="B6" s="33" t="str">
        <f>IF(Risk_Scenarios!B6="","",Risk_Scenarios!B6)</f>
        <v/>
      </c>
      <c r="C6" s="33" t="str">
        <f>IF(Vulnerabilities!B6="","",Vulnerabilities!B6)</f>
        <v/>
      </c>
      <c r="D6" s="33" t="str">
        <f>IF(Vulnerabilities!I6="","",Vulnerabilities!I6)</f>
        <v/>
      </c>
      <c r="E6" s="17"/>
      <c r="F6" s="33" t="str">
        <f t="shared" si="0"/>
        <v/>
      </c>
      <c r="G6" s="43">
        <v>4</v>
      </c>
      <c r="H6" s="43" t="s">
        <v>63</v>
      </c>
      <c r="I6" s="43" t="s">
        <v>68</v>
      </c>
    </row>
    <row r="7" spans="1:9" x14ac:dyDescent="0.25">
      <c r="A7" s="33" t="str">
        <f>IF(Risk_Scenarios!I7="","",Risk_Scenarios!I7)</f>
        <v/>
      </c>
      <c r="B7" s="33" t="str">
        <f>IF(Risk_Scenarios!B7="","",Risk_Scenarios!B7)</f>
        <v/>
      </c>
      <c r="C7" s="33" t="str">
        <f>IF(Vulnerabilities!B7="","",Vulnerabilities!B7)</f>
        <v/>
      </c>
      <c r="D7" s="33" t="str">
        <f>IF(Vulnerabilities!I7="","",Vulnerabilities!I7)</f>
        <v/>
      </c>
      <c r="E7" s="17"/>
      <c r="F7" s="33" t="str">
        <f t="shared" si="0"/>
        <v/>
      </c>
      <c r="G7" s="43">
        <v>5</v>
      </c>
      <c r="H7" s="43" t="s">
        <v>64</v>
      </c>
      <c r="I7" s="43" t="s">
        <v>69</v>
      </c>
    </row>
    <row r="8" spans="1:9" x14ac:dyDescent="0.25">
      <c r="A8" s="33" t="str">
        <f>IF(Risk_Scenarios!I8="","",Risk_Scenarios!I8)</f>
        <v/>
      </c>
      <c r="B8" s="33" t="str">
        <f>IF(Risk_Scenarios!B8="","",Risk_Scenarios!B8)</f>
        <v/>
      </c>
      <c r="C8" s="33" t="str">
        <f>IF(Vulnerabilities!B8="","",Vulnerabilities!B8)</f>
        <v/>
      </c>
      <c r="D8" s="33" t="str">
        <f>IF(Vulnerabilities!I8="","",Vulnerabilities!I8)</f>
        <v/>
      </c>
      <c r="E8" s="17"/>
      <c r="F8" s="33" t="str">
        <f t="shared" si="0"/>
        <v/>
      </c>
      <c r="G8" s="109" t="s">
        <v>140</v>
      </c>
      <c r="H8" s="105"/>
      <c r="I8" s="105"/>
    </row>
    <row r="9" spans="1:9" x14ac:dyDescent="0.25">
      <c r="A9" s="33" t="str">
        <f>IF(Risk_Scenarios!I9="","",Risk_Scenarios!I9)</f>
        <v/>
      </c>
      <c r="B9" s="33" t="str">
        <f>IF(Risk_Scenarios!B9="","",Risk_Scenarios!B9)</f>
        <v/>
      </c>
      <c r="C9" s="33" t="str">
        <f>IF(Vulnerabilities!B9="","",Vulnerabilities!B9)</f>
        <v/>
      </c>
      <c r="D9" s="33" t="str">
        <f>IF(Vulnerabilities!I9="","",Vulnerabilities!I9)</f>
        <v/>
      </c>
      <c r="E9" s="17"/>
      <c r="F9" s="33" t="str">
        <f t="shared" si="0"/>
        <v/>
      </c>
      <c r="G9" s="106">
        <v>1</v>
      </c>
      <c r="H9" s="107"/>
      <c r="I9" s="56" t="s">
        <v>113</v>
      </c>
    </row>
    <row r="10" spans="1:9" x14ac:dyDescent="0.25">
      <c r="A10" s="33" t="str">
        <f>IF(Risk_Scenarios!I10="","",Risk_Scenarios!I10)</f>
        <v/>
      </c>
      <c r="B10" s="33" t="str">
        <f>IF(Risk_Scenarios!B10="","",Risk_Scenarios!B10)</f>
        <v/>
      </c>
      <c r="C10" s="33" t="str">
        <f>IF(Vulnerabilities!B10="","",Vulnerabilities!B10)</f>
        <v/>
      </c>
      <c r="D10" s="33" t="str">
        <f>IF(Vulnerabilities!I10="","",Vulnerabilities!I10)</f>
        <v/>
      </c>
      <c r="E10" s="17"/>
      <c r="F10" s="33" t="str">
        <f t="shared" si="0"/>
        <v/>
      </c>
      <c r="G10" s="106">
        <v>2</v>
      </c>
      <c r="H10" s="107"/>
      <c r="I10" s="56" t="s">
        <v>112</v>
      </c>
    </row>
    <row r="11" spans="1:9" x14ac:dyDescent="0.25">
      <c r="A11" s="33" t="str">
        <f>IF(Risk_Scenarios!I11="","",Risk_Scenarios!I11)</f>
        <v/>
      </c>
      <c r="B11" s="33" t="str">
        <f>IF(Risk_Scenarios!B11="","",Risk_Scenarios!B11)</f>
        <v/>
      </c>
      <c r="C11" s="33" t="str">
        <f>IF(Vulnerabilities!B11="","",Vulnerabilities!B11)</f>
        <v/>
      </c>
      <c r="D11" s="33" t="str">
        <f>IF(Vulnerabilities!I11="","",Vulnerabilities!I11)</f>
        <v/>
      </c>
      <c r="E11" s="17"/>
      <c r="F11" s="33" t="str">
        <f t="shared" si="0"/>
        <v/>
      </c>
      <c r="G11" s="106">
        <v>3</v>
      </c>
      <c r="H11" s="107"/>
      <c r="I11" s="56" t="s">
        <v>139</v>
      </c>
    </row>
    <row r="12" spans="1:9" x14ac:dyDescent="0.25">
      <c r="A12" s="33" t="str">
        <f>IF(Risk_Scenarios!I12="","",Risk_Scenarios!I12)</f>
        <v/>
      </c>
      <c r="B12" s="33" t="str">
        <f>IF(Risk_Scenarios!B12="","",Risk_Scenarios!B12)</f>
        <v/>
      </c>
      <c r="C12" s="33" t="str">
        <f>IF(Vulnerabilities!B12="","",Vulnerabilities!B12)</f>
        <v/>
      </c>
      <c r="D12" s="33" t="str">
        <f>IF(Vulnerabilities!I12="","",Vulnerabilities!I12)</f>
        <v/>
      </c>
      <c r="E12" s="17"/>
      <c r="F12" s="33" t="str">
        <f t="shared" si="0"/>
        <v/>
      </c>
      <c r="G12" s="106">
        <v>4</v>
      </c>
      <c r="H12" s="107"/>
      <c r="I12" s="57" t="s">
        <v>137</v>
      </c>
    </row>
    <row r="13" spans="1:9" x14ac:dyDescent="0.25">
      <c r="A13" s="33" t="str">
        <f>IF(Risk_Scenarios!I13="","",Risk_Scenarios!I13)</f>
        <v/>
      </c>
      <c r="B13" s="33" t="str">
        <f>IF(Risk_Scenarios!B13="","",Risk_Scenarios!B13)</f>
        <v/>
      </c>
      <c r="C13" s="33" t="str">
        <f>IF(Vulnerabilities!B13="","",Vulnerabilities!B13)</f>
        <v/>
      </c>
      <c r="D13" s="33" t="str">
        <f>IF(Vulnerabilities!I13="","",Vulnerabilities!I13)</f>
        <v/>
      </c>
      <c r="E13" s="17"/>
      <c r="F13" s="33" t="str">
        <f t="shared" si="0"/>
        <v/>
      </c>
      <c r="G13" s="106">
        <v>5</v>
      </c>
      <c r="H13" s="107"/>
      <c r="I13" s="57" t="s">
        <v>138</v>
      </c>
    </row>
    <row r="14" spans="1:9" x14ac:dyDescent="0.25">
      <c r="A14" s="33" t="str">
        <f>IF(Risk_Scenarios!I14="","",Risk_Scenarios!I14)</f>
        <v/>
      </c>
      <c r="B14" s="33" t="str">
        <f>IF(Risk_Scenarios!B14="","",Risk_Scenarios!B14)</f>
        <v/>
      </c>
      <c r="C14" s="33" t="str">
        <f>IF(Vulnerabilities!B14="","",Vulnerabilities!B14)</f>
        <v/>
      </c>
      <c r="D14" s="33" t="str">
        <f>IF(Vulnerabilities!I14="","",Vulnerabilities!I14)</f>
        <v/>
      </c>
      <c r="E14" s="17"/>
      <c r="F14" s="33" t="str">
        <f t="shared" si="0"/>
        <v/>
      </c>
      <c r="G14" s="23"/>
      <c r="H14" s="23"/>
      <c r="I14" s="23"/>
    </row>
    <row r="15" spans="1:9" x14ac:dyDescent="0.25">
      <c r="A15" s="33" t="str">
        <f>IF(Risk_Scenarios!I15="","",Risk_Scenarios!I15)</f>
        <v/>
      </c>
      <c r="B15" s="33" t="str">
        <f>IF(Risk_Scenarios!B15="","",Risk_Scenarios!B15)</f>
        <v/>
      </c>
      <c r="C15" s="33" t="str">
        <f>IF(Vulnerabilities!B15="","",Vulnerabilities!B15)</f>
        <v/>
      </c>
      <c r="D15" s="33" t="str">
        <f>IF(Vulnerabilities!I15="","",Vulnerabilities!I15)</f>
        <v/>
      </c>
      <c r="E15" s="17"/>
      <c r="F15" s="33" t="str">
        <f t="shared" si="0"/>
        <v/>
      </c>
      <c r="G15" s="23"/>
      <c r="H15" s="23"/>
      <c r="I15" s="23"/>
    </row>
    <row r="16" spans="1:9" x14ac:dyDescent="0.25">
      <c r="A16" s="33" t="str">
        <f>IF(Risk_Scenarios!I16="","",Risk_Scenarios!I16)</f>
        <v/>
      </c>
      <c r="B16" s="33" t="str">
        <f>IF(Risk_Scenarios!B16="","",Risk_Scenarios!B16)</f>
        <v/>
      </c>
      <c r="C16" s="33" t="str">
        <f>IF(Vulnerabilities!B16="","",Vulnerabilities!B16)</f>
        <v/>
      </c>
      <c r="D16" s="33" t="str">
        <f>IF(Vulnerabilities!I16="","",Vulnerabilities!I16)</f>
        <v/>
      </c>
      <c r="E16" s="17"/>
      <c r="F16" s="33" t="str">
        <f t="shared" si="0"/>
        <v/>
      </c>
      <c r="G16" s="23"/>
      <c r="H16" s="23"/>
      <c r="I16" s="23"/>
    </row>
    <row r="17" spans="1:9" x14ac:dyDescent="0.25">
      <c r="A17" s="33" t="str">
        <f>IF(Risk_Scenarios!I17="","",Risk_Scenarios!I17)</f>
        <v/>
      </c>
      <c r="B17" s="33" t="str">
        <f>IF(Risk_Scenarios!B17="","",Risk_Scenarios!B17)</f>
        <v/>
      </c>
      <c r="C17" s="33" t="str">
        <f>IF(Vulnerabilities!B17="","",Vulnerabilities!B17)</f>
        <v/>
      </c>
      <c r="D17" s="33" t="str">
        <f>IF(Vulnerabilities!I17="","",Vulnerabilities!I17)</f>
        <v/>
      </c>
      <c r="E17" s="17"/>
      <c r="F17" s="33" t="str">
        <f t="shared" si="0"/>
        <v/>
      </c>
      <c r="G17" s="23"/>
      <c r="H17" s="23"/>
      <c r="I17" s="23"/>
    </row>
    <row r="18" spans="1:9" x14ac:dyDescent="0.25">
      <c r="A18" s="33" t="str">
        <f>IF(Risk_Scenarios!I18="","",Risk_Scenarios!I18)</f>
        <v/>
      </c>
      <c r="B18" s="33" t="str">
        <f>IF(Risk_Scenarios!B18="","",Risk_Scenarios!B18)</f>
        <v/>
      </c>
      <c r="C18" s="33" t="str">
        <f>IF(Vulnerabilities!B18="","",Vulnerabilities!B18)</f>
        <v/>
      </c>
      <c r="D18" s="33" t="str">
        <f>IF(Vulnerabilities!I18="","",Vulnerabilities!I18)</f>
        <v/>
      </c>
      <c r="E18" s="17"/>
      <c r="F18" s="33" t="str">
        <f t="shared" si="0"/>
        <v/>
      </c>
      <c r="G18" s="23"/>
      <c r="H18" s="23"/>
      <c r="I18" s="23"/>
    </row>
    <row r="19" spans="1:9" x14ac:dyDescent="0.25">
      <c r="A19" s="33" t="str">
        <f>IF(Risk_Scenarios!I19="","",Risk_Scenarios!I19)</f>
        <v/>
      </c>
      <c r="B19" s="33" t="str">
        <f>IF(Risk_Scenarios!B19="","",Risk_Scenarios!B19)</f>
        <v/>
      </c>
      <c r="C19" s="33" t="str">
        <f>IF(Vulnerabilities!B19="","",Vulnerabilities!B19)</f>
        <v/>
      </c>
      <c r="D19" s="33" t="str">
        <f>IF(Vulnerabilities!I19="","",Vulnerabilities!I19)</f>
        <v/>
      </c>
      <c r="E19" s="17"/>
      <c r="F19" s="33" t="str">
        <f t="shared" si="0"/>
        <v/>
      </c>
      <c r="G19" s="23"/>
      <c r="H19" s="23"/>
      <c r="I19" s="23"/>
    </row>
    <row r="20" spans="1:9" x14ac:dyDescent="0.25">
      <c r="A20" s="33" t="str">
        <f>IF(Risk_Scenarios!I20="","",Risk_Scenarios!I20)</f>
        <v/>
      </c>
      <c r="B20" s="33" t="str">
        <f>IF(Risk_Scenarios!B20="","",Risk_Scenarios!B20)</f>
        <v/>
      </c>
      <c r="C20" s="33" t="str">
        <f>IF(Vulnerabilities!B20="","",Vulnerabilities!B20)</f>
        <v/>
      </c>
      <c r="D20" s="33" t="str">
        <f>IF(Vulnerabilities!I20="","",Vulnerabilities!I20)</f>
        <v/>
      </c>
      <c r="E20" s="17"/>
      <c r="F20" s="33" t="str">
        <f t="shared" si="0"/>
        <v/>
      </c>
      <c r="G20" s="23"/>
      <c r="H20" s="23"/>
      <c r="I20" s="23"/>
    </row>
    <row r="21" spans="1:9" x14ac:dyDescent="0.25">
      <c r="A21" s="33" t="str">
        <f>IF(Risk_Scenarios!I21="","",Risk_Scenarios!I21)</f>
        <v/>
      </c>
      <c r="B21" s="33" t="str">
        <f>IF(Risk_Scenarios!B21="","",Risk_Scenarios!B21)</f>
        <v/>
      </c>
      <c r="C21" s="33" t="str">
        <f>IF(Vulnerabilities!B21="","",Vulnerabilities!B21)</f>
        <v/>
      </c>
      <c r="D21" s="33" t="str">
        <f>IF(Vulnerabilities!I21="","",Vulnerabilities!I21)</f>
        <v/>
      </c>
      <c r="E21" s="17"/>
      <c r="F21" s="33" t="str">
        <f t="shared" si="0"/>
        <v/>
      </c>
      <c r="G21" s="23"/>
      <c r="H21" s="23"/>
      <c r="I21" s="23"/>
    </row>
    <row r="22" spans="1:9" x14ac:dyDescent="0.25">
      <c r="A22" s="33" t="str">
        <f>IF(Risk_Scenarios!I22="","",Risk_Scenarios!I22)</f>
        <v/>
      </c>
      <c r="B22" s="33" t="str">
        <f>IF(Risk_Scenarios!B22="","",Risk_Scenarios!B22)</f>
        <v/>
      </c>
      <c r="C22" s="33" t="str">
        <f>IF(Vulnerabilities!B22="","",Vulnerabilities!B22)</f>
        <v/>
      </c>
      <c r="D22" s="33" t="str">
        <f>IF(Vulnerabilities!I22="","",Vulnerabilities!I22)</f>
        <v/>
      </c>
      <c r="E22" s="17"/>
      <c r="F22" s="33" t="str">
        <f t="shared" si="0"/>
        <v/>
      </c>
      <c r="G22" s="23"/>
      <c r="H22" s="23"/>
      <c r="I22" s="23"/>
    </row>
    <row r="23" spans="1:9" x14ac:dyDescent="0.25">
      <c r="A23" s="33" t="str">
        <f>IF(Risk_Scenarios!I23="","",Risk_Scenarios!I23)</f>
        <v/>
      </c>
      <c r="B23" s="33" t="str">
        <f>IF(Risk_Scenarios!B23="","",Risk_Scenarios!B23)</f>
        <v/>
      </c>
      <c r="C23" s="33" t="str">
        <f>IF(Vulnerabilities!B23="","",Vulnerabilities!B23)</f>
        <v/>
      </c>
      <c r="D23" s="33" t="str">
        <f>IF(Vulnerabilities!I23="","",Vulnerabilities!I23)</f>
        <v/>
      </c>
      <c r="E23" s="17"/>
      <c r="F23" s="33" t="str">
        <f t="shared" si="0"/>
        <v/>
      </c>
      <c r="G23" s="23"/>
      <c r="H23" s="23"/>
      <c r="I23" s="23"/>
    </row>
    <row r="24" spans="1:9" x14ac:dyDescent="0.25">
      <c r="A24" s="33" t="str">
        <f>IF(Risk_Scenarios!I24="","",Risk_Scenarios!I24)</f>
        <v/>
      </c>
      <c r="B24" s="33" t="str">
        <f>IF(Risk_Scenarios!B24="","",Risk_Scenarios!B24)</f>
        <v/>
      </c>
      <c r="C24" s="33" t="str">
        <f>IF(Vulnerabilities!B24="","",Vulnerabilities!B24)</f>
        <v/>
      </c>
      <c r="D24" s="33" t="str">
        <f>IF(Vulnerabilities!I24="","",Vulnerabilities!I24)</f>
        <v/>
      </c>
      <c r="E24" s="17"/>
      <c r="F24" s="33" t="str">
        <f t="shared" si="0"/>
        <v/>
      </c>
      <c r="G24" s="23"/>
      <c r="H24" s="23"/>
      <c r="I24" s="23"/>
    </row>
    <row r="25" spans="1:9" x14ac:dyDescent="0.25">
      <c r="A25" s="33" t="str">
        <f>IF(Risk_Scenarios!I25="","",Risk_Scenarios!I25)</f>
        <v/>
      </c>
      <c r="B25" s="33" t="str">
        <f>IF(Risk_Scenarios!B25="","",Risk_Scenarios!B25)</f>
        <v/>
      </c>
      <c r="C25" s="33" t="str">
        <f>IF(Vulnerabilities!B25="","",Vulnerabilities!B25)</f>
        <v/>
      </c>
      <c r="D25" s="33" t="str">
        <f>IF(Vulnerabilities!I25="","",Vulnerabilities!I25)</f>
        <v/>
      </c>
      <c r="E25" s="17"/>
      <c r="F25" s="33" t="str">
        <f t="shared" si="0"/>
        <v/>
      </c>
      <c r="G25" s="23"/>
      <c r="H25" s="23"/>
      <c r="I25" s="23"/>
    </row>
    <row r="26" spans="1:9" x14ac:dyDescent="0.25">
      <c r="A26" s="33" t="str">
        <f>IF(Risk_Scenarios!I26="","",Risk_Scenarios!I26)</f>
        <v/>
      </c>
      <c r="B26" s="33" t="str">
        <f>IF(Risk_Scenarios!B26="","",Risk_Scenarios!B26)</f>
        <v/>
      </c>
      <c r="C26" s="33" t="str">
        <f>IF(Vulnerabilities!B26="","",Vulnerabilities!B26)</f>
        <v/>
      </c>
      <c r="D26" s="33" t="str">
        <f>IF(Vulnerabilities!I26="","",Vulnerabilities!I26)</f>
        <v/>
      </c>
      <c r="E26" s="17"/>
      <c r="F26" s="33" t="str">
        <f t="shared" si="0"/>
        <v/>
      </c>
      <c r="G26" s="23"/>
      <c r="H26" s="23"/>
      <c r="I26" s="23"/>
    </row>
    <row r="27" spans="1:9" x14ac:dyDescent="0.25">
      <c r="A27" s="33" t="str">
        <f>IF(Risk_Scenarios!I27="","",Risk_Scenarios!I27)</f>
        <v/>
      </c>
      <c r="B27" s="33" t="str">
        <f>IF(Risk_Scenarios!B27="","",Risk_Scenarios!B27)</f>
        <v/>
      </c>
      <c r="C27" s="33" t="str">
        <f>IF(Vulnerabilities!B27="","",Vulnerabilities!B27)</f>
        <v/>
      </c>
      <c r="D27" s="33" t="str">
        <f>IF(Vulnerabilities!I27="","",Vulnerabilities!I27)</f>
        <v/>
      </c>
      <c r="E27" s="17"/>
      <c r="F27" s="33" t="str">
        <f t="shared" si="0"/>
        <v/>
      </c>
      <c r="G27" s="23"/>
      <c r="H27" s="23"/>
      <c r="I27" s="23"/>
    </row>
    <row r="28" spans="1:9" x14ac:dyDescent="0.25">
      <c r="A28" s="33" t="str">
        <f>IF(Risk_Scenarios!I28="","",Risk_Scenarios!I28)</f>
        <v/>
      </c>
      <c r="B28" s="33" t="str">
        <f>IF(Risk_Scenarios!B28="","",Risk_Scenarios!B28)</f>
        <v/>
      </c>
      <c r="C28" s="33" t="str">
        <f>IF(Vulnerabilities!B28="","",Vulnerabilities!B28)</f>
        <v/>
      </c>
      <c r="D28" s="33" t="str">
        <f>IF(Vulnerabilities!I28="","",Vulnerabilities!I28)</f>
        <v/>
      </c>
      <c r="E28" s="17"/>
      <c r="F28" s="33" t="str">
        <f t="shared" si="0"/>
        <v/>
      </c>
      <c r="G28" s="23"/>
      <c r="H28" s="23"/>
      <c r="I28" s="23"/>
    </row>
    <row r="29" spans="1:9" x14ac:dyDescent="0.25">
      <c r="A29" s="33" t="str">
        <f>IF(Risk_Scenarios!I29="","",Risk_Scenarios!I29)</f>
        <v/>
      </c>
      <c r="B29" s="33" t="str">
        <f>IF(Risk_Scenarios!B29="","",Risk_Scenarios!B29)</f>
        <v/>
      </c>
      <c r="C29" s="33" t="str">
        <f>IF(Vulnerabilities!B29="","",Vulnerabilities!B29)</f>
        <v/>
      </c>
      <c r="D29" s="33" t="str">
        <f>IF(Vulnerabilities!I29="","",Vulnerabilities!I29)</f>
        <v/>
      </c>
      <c r="E29" s="17"/>
      <c r="F29" s="33" t="str">
        <f t="shared" si="0"/>
        <v/>
      </c>
      <c r="G29" s="23"/>
      <c r="H29" s="23"/>
      <c r="I29" s="23"/>
    </row>
    <row r="30" spans="1:9" x14ac:dyDescent="0.25">
      <c r="A30" s="33" t="str">
        <f>IF(Risk_Scenarios!I30="","",Risk_Scenarios!I30)</f>
        <v/>
      </c>
      <c r="B30" s="33" t="str">
        <f>IF(Risk_Scenarios!B30="","",Risk_Scenarios!B30)</f>
        <v/>
      </c>
      <c r="C30" s="33" t="str">
        <f>IF(Vulnerabilities!B30="","",Vulnerabilities!B30)</f>
        <v/>
      </c>
      <c r="D30" s="33" t="str">
        <f>IF(Vulnerabilities!I30="","",Vulnerabilities!I30)</f>
        <v/>
      </c>
      <c r="E30" s="17"/>
      <c r="F30" s="33" t="str">
        <f t="shared" si="0"/>
        <v/>
      </c>
      <c r="G30" s="23"/>
      <c r="H30" s="23"/>
      <c r="I30" s="23"/>
    </row>
    <row r="31" spans="1:9" x14ac:dyDescent="0.25">
      <c r="A31" s="33" t="str">
        <f>IF(Risk_Scenarios!I31="","",Risk_Scenarios!I31)</f>
        <v/>
      </c>
      <c r="B31" s="33" t="str">
        <f>IF(Risk_Scenarios!B31="","",Risk_Scenarios!B31)</f>
        <v/>
      </c>
      <c r="C31" s="33" t="str">
        <f>IF(Vulnerabilities!B31="","",Vulnerabilities!B31)</f>
        <v/>
      </c>
      <c r="D31" s="33" t="str">
        <f>IF(Vulnerabilities!I31="","",Vulnerabilities!I31)</f>
        <v/>
      </c>
      <c r="E31" s="17"/>
      <c r="F31" s="33" t="str">
        <f t="shared" si="0"/>
        <v/>
      </c>
      <c r="G31" s="23"/>
      <c r="H31" s="23"/>
      <c r="I31" s="23"/>
    </row>
    <row r="32" spans="1:9" x14ac:dyDescent="0.25">
      <c r="B32" s="33"/>
      <c r="C32" s="33"/>
      <c r="D32" s="33"/>
      <c r="E32" s="17"/>
      <c r="F32" s="33"/>
      <c r="G32" s="23"/>
      <c r="H32" s="23"/>
      <c r="I32" s="23"/>
    </row>
    <row r="33" spans="2:9" x14ac:dyDescent="0.25">
      <c r="B33" s="33"/>
      <c r="C33" s="33"/>
      <c r="D33" s="33"/>
      <c r="E33" s="17"/>
      <c r="F33" s="33"/>
      <c r="G33" s="23"/>
      <c r="H33" s="23"/>
      <c r="I33" s="23"/>
    </row>
    <row r="34" spans="2:9" x14ac:dyDescent="0.25">
      <c r="B34" s="33"/>
      <c r="C34" s="33"/>
      <c r="D34" s="33"/>
      <c r="E34" s="17"/>
      <c r="F34" s="33"/>
      <c r="G34" s="23"/>
      <c r="H34" s="23"/>
      <c r="I34" s="23"/>
    </row>
    <row r="35" spans="2:9" x14ac:dyDescent="0.25">
      <c r="B35" s="33"/>
      <c r="C35" s="33"/>
      <c r="D35" s="33"/>
      <c r="E35" s="17"/>
      <c r="F35" s="33"/>
      <c r="G35" s="23"/>
      <c r="H35" s="23"/>
      <c r="I35" s="23"/>
    </row>
    <row r="36" spans="2:9" x14ac:dyDescent="0.25">
      <c r="B36" s="33"/>
      <c r="C36" s="33"/>
      <c r="D36" s="33"/>
      <c r="E36" s="17"/>
      <c r="F36" s="33" t="str">
        <f>IF(OR(D36="",E36=""), "", D36 * E36)</f>
        <v/>
      </c>
      <c r="G36" s="23"/>
      <c r="H36" s="23"/>
      <c r="I36" s="23"/>
    </row>
    <row r="37" spans="2:9" x14ac:dyDescent="0.25">
      <c r="B37" s="33"/>
      <c r="C37" s="33"/>
      <c r="D37" s="33"/>
      <c r="E37" s="17"/>
      <c r="F37" s="33" t="str">
        <f>IF(OR(D37="",E37=""), "", D37 * E37)</f>
        <v/>
      </c>
      <c r="G37" s="23"/>
      <c r="H37" s="23"/>
      <c r="I37" s="23"/>
    </row>
    <row r="38" spans="2:9" x14ac:dyDescent="0.25">
      <c r="B38" s="33"/>
      <c r="C38" s="33"/>
      <c r="D38" s="33"/>
      <c r="E38" s="17"/>
      <c r="F38" s="33" t="str">
        <f>IF(OR(D38="",E38=""), "", D38 * E38)</f>
        <v/>
      </c>
      <c r="G38" s="23"/>
      <c r="H38" s="23"/>
      <c r="I38" s="23"/>
    </row>
    <row r="39" spans="2:9" x14ac:dyDescent="0.25">
      <c r="B39" s="33"/>
      <c r="C39" s="33"/>
      <c r="D39" s="33"/>
      <c r="E39" s="17"/>
      <c r="F39" s="33" t="str">
        <f>IF(OR(D39="",E39=""), "", D39 * E39)</f>
        <v/>
      </c>
      <c r="G39" s="23"/>
      <c r="H39" s="23"/>
      <c r="I39" s="23"/>
    </row>
    <row r="40" spans="2:9" x14ac:dyDescent="0.25">
      <c r="B40" s="33"/>
      <c r="C40" s="33"/>
      <c r="D40" s="33"/>
      <c r="E40" s="17"/>
      <c r="F40" s="33"/>
      <c r="G40" s="23"/>
      <c r="H40" s="23"/>
      <c r="I40" s="23"/>
    </row>
    <row r="41" spans="2:9" x14ac:dyDescent="0.25">
      <c r="B41" s="33"/>
      <c r="C41" s="33"/>
      <c r="D41" s="33"/>
      <c r="E41" s="17"/>
      <c r="F41" s="33"/>
      <c r="G41" s="23"/>
      <c r="H41" s="23"/>
      <c r="I41" s="23"/>
    </row>
    <row r="42" spans="2:9" x14ac:dyDescent="0.25">
      <c r="B42" s="33"/>
      <c r="C42" s="33"/>
      <c r="D42" s="33"/>
      <c r="E42" s="17"/>
      <c r="F42" s="33"/>
      <c r="G42" s="23"/>
      <c r="H42" s="23"/>
      <c r="I42" s="23"/>
    </row>
    <row r="43" spans="2:9" x14ac:dyDescent="0.25">
      <c r="B43" s="33"/>
      <c r="C43" s="33"/>
      <c r="D43" s="33"/>
      <c r="E43" s="17"/>
      <c r="F43" s="33"/>
      <c r="G43" s="23"/>
      <c r="H43" s="23"/>
      <c r="I43" s="23"/>
    </row>
    <row r="44" spans="2:9" x14ac:dyDescent="0.25">
      <c r="B44" s="33"/>
      <c r="C44" s="33"/>
      <c r="D44" s="33"/>
      <c r="E44" s="17"/>
      <c r="F44" s="33"/>
      <c r="G44" s="23"/>
      <c r="H44" s="23"/>
      <c r="I44" s="23"/>
    </row>
    <row r="45" spans="2:9" x14ac:dyDescent="0.25">
      <c r="B45" s="33"/>
      <c r="C45" s="33"/>
      <c r="D45" s="33"/>
      <c r="E45" s="17"/>
      <c r="F45" s="33"/>
      <c r="G45" s="23"/>
      <c r="H45" s="23"/>
      <c r="I45" s="23"/>
    </row>
    <row r="46" spans="2:9" x14ac:dyDescent="0.25">
      <c r="B46" s="33"/>
      <c r="C46" s="33"/>
      <c r="D46" s="33"/>
      <c r="E46" s="17"/>
      <c r="F46" s="33"/>
      <c r="G46" s="23"/>
      <c r="H46" s="23"/>
      <c r="I46" s="23"/>
    </row>
    <row r="47" spans="2:9" x14ac:dyDescent="0.25">
      <c r="B47" s="33"/>
      <c r="C47" s="33"/>
      <c r="D47" s="33"/>
      <c r="E47" s="17"/>
      <c r="F47" s="33"/>
      <c r="G47" s="23"/>
      <c r="H47" s="23"/>
      <c r="I47" s="23"/>
    </row>
    <row r="48" spans="2:9" x14ac:dyDescent="0.25">
      <c r="B48" s="33"/>
      <c r="C48" s="33"/>
      <c r="D48" s="33"/>
      <c r="E48" s="17"/>
      <c r="F48" s="33"/>
      <c r="G48" s="23"/>
      <c r="H48" s="23"/>
      <c r="I48" s="23"/>
    </row>
    <row r="49" spans="2:9" x14ac:dyDescent="0.25">
      <c r="B49" s="33"/>
      <c r="C49" s="33"/>
      <c r="D49" s="33"/>
      <c r="E49" s="17"/>
      <c r="F49" s="33"/>
      <c r="G49" s="23"/>
      <c r="H49" s="23"/>
      <c r="I49" s="23"/>
    </row>
    <row r="50" spans="2:9" x14ac:dyDescent="0.25">
      <c r="B50" s="33"/>
      <c r="C50" s="33"/>
      <c r="D50" s="33"/>
      <c r="E50" s="17"/>
      <c r="F50" s="33"/>
      <c r="G50" s="23"/>
      <c r="H50" s="23"/>
      <c r="I50" s="23"/>
    </row>
    <row r="51" spans="2:9" x14ac:dyDescent="0.25">
      <c r="B51" s="33"/>
      <c r="C51" s="33"/>
      <c r="D51" s="33"/>
      <c r="E51" s="17"/>
      <c r="F51" s="33"/>
      <c r="G51" s="23"/>
      <c r="H51" s="23"/>
      <c r="I51" s="23"/>
    </row>
    <row r="52" spans="2:9" x14ac:dyDescent="0.25">
      <c r="B52" s="33"/>
      <c r="C52" s="33"/>
      <c r="D52" s="33"/>
      <c r="E52" s="17"/>
      <c r="F52" s="33"/>
      <c r="G52" s="23"/>
      <c r="H52" s="23"/>
      <c r="I52" s="23"/>
    </row>
    <row r="53" spans="2:9" x14ac:dyDescent="0.25">
      <c r="B53" s="33"/>
      <c r="C53" s="33"/>
      <c r="D53" s="33"/>
      <c r="E53" s="17"/>
      <c r="F53" s="33"/>
      <c r="G53" s="23"/>
      <c r="H53" s="23"/>
      <c r="I53" s="23"/>
    </row>
    <row r="54" spans="2:9" x14ac:dyDescent="0.25">
      <c r="B54" s="33"/>
      <c r="C54" s="33"/>
      <c r="D54" s="33"/>
      <c r="E54" s="17"/>
      <c r="F54" s="33"/>
      <c r="G54" s="23"/>
      <c r="H54" s="23"/>
      <c r="I54" s="23"/>
    </row>
    <row r="55" spans="2:9" x14ac:dyDescent="0.25">
      <c r="B55" s="33"/>
      <c r="C55" s="33"/>
      <c r="D55" s="33"/>
      <c r="E55" s="17"/>
      <c r="F55" s="33"/>
      <c r="G55" s="23"/>
      <c r="H55" s="23"/>
      <c r="I55" s="23"/>
    </row>
    <row r="56" spans="2:9" x14ac:dyDescent="0.25">
      <c r="B56" s="33"/>
      <c r="C56" s="33"/>
      <c r="D56" s="33"/>
      <c r="E56" s="17"/>
      <c r="F56" s="33"/>
      <c r="G56" s="23"/>
      <c r="H56" s="23"/>
      <c r="I56" s="23"/>
    </row>
    <row r="57" spans="2:9" x14ac:dyDescent="0.25">
      <c r="B57" s="33"/>
      <c r="C57" s="33"/>
      <c r="D57" s="33"/>
      <c r="E57" s="17"/>
      <c r="F57" s="33"/>
      <c r="G57" s="23"/>
      <c r="H57" s="23"/>
      <c r="I57" s="23"/>
    </row>
    <row r="58" spans="2:9" x14ac:dyDescent="0.25">
      <c r="B58" s="33"/>
      <c r="C58" s="33"/>
      <c r="D58" s="33"/>
      <c r="E58" s="17"/>
      <c r="F58" s="33"/>
      <c r="G58" s="23"/>
      <c r="H58" s="23"/>
      <c r="I58" s="23"/>
    </row>
    <row r="59" spans="2:9" x14ac:dyDescent="0.25">
      <c r="B59" s="33"/>
      <c r="C59" s="33"/>
      <c r="D59" s="33"/>
      <c r="E59" s="17"/>
      <c r="F59" s="33"/>
      <c r="G59" s="23"/>
      <c r="H59" s="23"/>
      <c r="I59" s="23"/>
    </row>
    <row r="60" spans="2:9" x14ac:dyDescent="0.25">
      <c r="B60" s="33"/>
      <c r="C60" s="33"/>
      <c r="D60" s="33"/>
      <c r="E60" s="17"/>
      <c r="F60" s="33"/>
      <c r="G60" s="23"/>
      <c r="H60" s="23"/>
      <c r="I60" s="23"/>
    </row>
    <row r="61" spans="2:9" x14ac:dyDescent="0.25">
      <c r="B61" s="33"/>
      <c r="C61" s="33"/>
      <c r="D61" s="33"/>
      <c r="E61" s="17"/>
      <c r="F61" s="33"/>
      <c r="G61" s="23"/>
      <c r="H61" s="23"/>
      <c r="I61" s="23"/>
    </row>
    <row r="62" spans="2:9" x14ac:dyDescent="0.25">
      <c r="B62" s="33"/>
      <c r="C62" s="33"/>
      <c r="D62" s="33"/>
      <c r="E62" s="17"/>
      <c r="F62" s="33"/>
      <c r="G62" s="23"/>
      <c r="H62" s="23"/>
      <c r="I62" s="23"/>
    </row>
    <row r="63" spans="2:9" x14ac:dyDescent="0.25">
      <c r="B63" s="33"/>
      <c r="C63" s="33"/>
      <c r="D63" s="33"/>
      <c r="E63" s="17"/>
      <c r="F63" s="33"/>
      <c r="G63" s="23"/>
      <c r="H63" s="23"/>
      <c r="I63" s="23"/>
    </row>
    <row r="64" spans="2:9" x14ac:dyDescent="0.25">
      <c r="B64" s="33"/>
      <c r="C64" s="33"/>
      <c r="D64" s="33"/>
      <c r="E64" s="17"/>
      <c r="F64" s="33"/>
      <c r="G64" s="23"/>
      <c r="H64" s="23"/>
      <c r="I64" s="23"/>
    </row>
    <row r="65" spans="2:9" x14ac:dyDescent="0.25">
      <c r="B65" s="33"/>
      <c r="C65" s="33"/>
      <c r="D65" s="33"/>
      <c r="E65" s="17"/>
      <c r="F65" s="33"/>
      <c r="G65" s="23"/>
      <c r="H65" s="23"/>
      <c r="I65" s="23"/>
    </row>
    <row r="66" spans="2:9" x14ac:dyDescent="0.25">
      <c r="B66" s="33"/>
      <c r="C66" s="33"/>
      <c r="D66" s="33"/>
      <c r="E66" s="17"/>
      <c r="F66" s="33"/>
      <c r="G66" s="23"/>
      <c r="H66" s="23"/>
      <c r="I66" s="23"/>
    </row>
    <row r="67" spans="2:9" x14ac:dyDescent="0.25">
      <c r="B67" s="33"/>
      <c r="C67" s="33"/>
      <c r="D67" s="33"/>
      <c r="E67" s="17"/>
      <c r="F67" s="33"/>
      <c r="G67" s="23"/>
      <c r="H67" s="23"/>
      <c r="I67" s="23"/>
    </row>
    <row r="68" spans="2:9" x14ac:dyDescent="0.25">
      <c r="B68" s="33"/>
      <c r="C68" s="33"/>
      <c r="D68" s="33"/>
      <c r="E68" s="17"/>
      <c r="F68" s="33"/>
      <c r="G68" s="23"/>
      <c r="H68" s="23"/>
      <c r="I68" s="23"/>
    </row>
    <row r="69" spans="2:9" x14ac:dyDescent="0.25">
      <c r="B69" s="33"/>
      <c r="C69" s="33"/>
      <c r="D69" s="33"/>
      <c r="E69" s="17"/>
      <c r="F69" s="33"/>
      <c r="G69" s="23"/>
      <c r="H69" s="23"/>
      <c r="I69" s="23"/>
    </row>
    <row r="70" spans="2:9" x14ac:dyDescent="0.25">
      <c r="B70" s="33"/>
      <c r="C70" s="33"/>
      <c r="D70" s="33"/>
      <c r="E70" s="17"/>
      <c r="F70" s="33"/>
      <c r="G70" s="23"/>
      <c r="H70" s="23"/>
      <c r="I70" s="23"/>
    </row>
    <row r="71" spans="2:9" x14ac:dyDescent="0.25">
      <c r="B71" s="33"/>
      <c r="C71" s="33"/>
      <c r="D71" s="33"/>
      <c r="E71" s="17"/>
      <c r="F71" s="33"/>
      <c r="G71" s="23"/>
      <c r="H71" s="23"/>
      <c r="I71" s="23"/>
    </row>
    <row r="72" spans="2:9" x14ac:dyDescent="0.25">
      <c r="B72" s="33"/>
      <c r="C72" s="33"/>
      <c r="D72" s="33"/>
      <c r="E72" s="17"/>
      <c r="F72" s="33"/>
      <c r="G72" s="23"/>
      <c r="H72" s="23"/>
      <c r="I72" s="23"/>
    </row>
    <row r="73" spans="2:9" x14ac:dyDescent="0.25">
      <c r="B73" s="33"/>
      <c r="C73" s="33"/>
      <c r="D73" s="33"/>
      <c r="E73" s="17"/>
      <c r="F73" s="33"/>
      <c r="G73" s="23"/>
      <c r="H73" s="23"/>
      <c r="I73" s="23"/>
    </row>
    <row r="74" spans="2:9" x14ac:dyDescent="0.25">
      <c r="B74" s="33"/>
      <c r="C74" s="33"/>
      <c r="D74" s="33"/>
      <c r="E74" s="17"/>
      <c r="F74" s="33"/>
      <c r="G74" s="23"/>
      <c r="H74" s="23"/>
      <c r="I74" s="23"/>
    </row>
    <row r="75" spans="2:9" x14ac:dyDescent="0.25">
      <c r="B75" s="33"/>
      <c r="C75" s="33"/>
      <c r="D75" s="33"/>
      <c r="E75" s="17"/>
      <c r="F75" s="33"/>
      <c r="G75" s="23"/>
      <c r="H75" s="23"/>
      <c r="I75" s="23"/>
    </row>
    <row r="76" spans="2:9" x14ac:dyDescent="0.25">
      <c r="B76" s="33"/>
      <c r="C76" s="33"/>
      <c r="D76" s="33"/>
      <c r="E76" s="17"/>
      <c r="F76" s="33"/>
      <c r="G76" s="23"/>
      <c r="H76" s="23"/>
      <c r="I76" s="23"/>
    </row>
    <row r="77" spans="2:9" x14ac:dyDescent="0.25">
      <c r="B77" s="33"/>
      <c r="C77" s="33"/>
      <c r="D77" s="33"/>
      <c r="E77" s="17"/>
      <c r="F77" s="33"/>
      <c r="G77" s="23"/>
      <c r="H77" s="23"/>
      <c r="I77" s="23"/>
    </row>
    <row r="78" spans="2:9" x14ac:dyDescent="0.25">
      <c r="B78" s="33"/>
      <c r="C78" s="33"/>
      <c r="D78" s="33"/>
      <c r="E78" s="17"/>
      <c r="F78" s="33"/>
      <c r="G78" s="23"/>
      <c r="H78" s="23"/>
      <c r="I78" s="23"/>
    </row>
    <row r="79" spans="2:9" x14ac:dyDescent="0.25">
      <c r="B79" s="33"/>
      <c r="C79" s="33"/>
      <c r="D79" s="33"/>
      <c r="E79" s="17"/>
      <c r="F79" s="33"/>
      <c r="G79" s="23"/>
      <c r="H79" s="23"/>
      <c r="I79" s="23"/>
    </row>
    <row r="80" spans="2:9" x14ac:dyDescent="0.25">
      <c r="B80" s="33"/>
      <c r="C80" s="33"/>
      <c r="D80" s="33"/>
      <c r="E80" s="17"/>
      <c r="F80" s="33"/>
      <c r="G80" s="23"/>
      <c r="H80" s="23"/>
      <c r="I80" s="23"/>
    </row>
    <row r="81" spans="2:9" x14ac:dyDescent="0.25">
      <c r="B81" s="33"/>
      <c r="C81" s="33"/>
      <c r="D81" s="33"/>
      <c r="E81" s="17"/>
      <c r="F81" s="33"/>
      <c r="G81" s="23"/>
      <c r="H81" s="23"/>
      <c r="I81" s="23"/>
    </row>
    <row r="82" spans="2:9" x14ac:dyDescent="0.25">
      <c r="B82" s="33"/>
      <c r="C82" s="33"/>
      <c r="D82" s="33"/>
      <c r="E82" s="17"/>
      <c r="F82" s="33"/>
      <c r="G82" s="23"/>
      <c r="H82" s="23"/>
      <c r="I82" s="23"/>
    </row>
    <row r="83" spans="2:9" x14ac:dyDescent="0.25">
      <c r="B83" s="33"/>
      <c r="C83" s="33"/>
      <c r="D83" s="33"/>
      <c r="E83" s="17"/>
      <c r="F83" s="33"/>
      <c r="G83" s="23"/>
      <c r="H83" s="23"/>
      <c r="I83" s="23"/>
    </row>
    <row r="84" spans="2:9" x14ac:dyDescent="0.25">
      <c r="B84" s="33"/>
      <c r="C84" s="33"/>
      <c r="D84" s="33"/>
      <c r="E84" s="17"/>
      <c r="F84" s="33"/>
      <c r="G84" s="23"/>
      <c r="H84" s="23"/>
      <c r="I84" s="23"/>
    </row>
    <row r="85" spans="2:9" x14ac:dyDescent="0.25">
      <c r="B85" s="33"/>
      <c r="C85" s="33"/>
      <c r="D85" s="33"/>
      <c r="E85" s="17"/>
      <c r="F85" s="33"/>
      <c r="G85" s="23"/>
      <c r="H85" s="23"/>
      <c r="I85" s="23"/>
    </row>
    <row r="86" spans="2:9" x14ac:dyDescent="0.25">
      <c r="B86" s="33"/>
      <c r="C86" s="33"/>
      <c r="D86" s="33"/>
      <c r="E86" s="17"/>
      <c r="F86" s="33"/>
      <c r="G86" s="23"/>
      <c r="H86" s="23"/>
      <c r="I86" s="23"/>
    </row>
    <row r="87" spans="2:9" x14ac:dyDescent="0.25">
      <c r="B87" s="33"/>
      <c r="C87" s="33"/>
      <c r="D87" s="33"/>
      <c r="E87" s="17"/>
      <c r="F87" s="33"/>
      <c r="G87" s="23"/>
      <c r="H87" s="23"/>
      <c r="I87" s="23"/>
    </row>
    <row r="88" spans="2:9" x14ac:dyDescent="0.25">
      <c r="B88" s="33"/>
      <c r="C88" s="33"/>
      <c r="D88" s="33"/>
      <c r="E88" s="17"/>
      <c r="F88" s="33"/>
      <c r="G88" s="23"/>
      <c r="H88" s="23"/>
      <c r="I88" s="23"/>
    </row>
    <row r="89" spans="2:9" x14ac:dyDescent="0.25">
      <c r="B89" s="33"/>
      <c r="C89" s="33"/>
      <c r="D89" s="33"/>
      <c r="E89" s="17"/>
      <c r="F89" s="33"/>
      <c r="G89" s="23"/>
      <c r="H89" s="23"/>
      <c r="I89" s="23"/>
    </row>
    <row r="90" spans="2:9" x14ac:dyDescent="0.25">
      <c r="B90" s="33"/>
      <c r="C90" s="33"/>
      <c r="D90" s="33"/>
      <c r="E90" s="17"/>
      <c r="F90" s="33"/>
      <c r="G90" s="23"/>
      <c r="H90" s="23"/>
      <c r="I90" s="23"/>
    </row>
    <row r="91" spans="2:9" x14ac:dyDescent="0.25">
      <c r="B91" s="33"/>
      <c r="C91" s="33"/>
      <c r="D91" s="33"/>
      <c r="E91" s="17"/>
      <c r="F91" s="33"/>
      <c r="G91" s="23"/>
      <c r="H91" s="23"/>
      <c r="I91" s="23"/>
    </row>
    <row r="92" spans="2:9" x14ac:dyDescent="0.25">
      <c r="B92" s="33"/>
      <c r="C92" s="33"/>
      <c r="D92" s="33"/>
      <c r="E92" s="17"/>
      <c r="F92" s="33"/>
      <c r="G92" s="23"/>
      <c r="H92" s="23"/>
      <c r="I92" s="23"/>
    </row>
    <row r="93" spans="2:9" x14ac:dyDescent="0.25">
      <c r="B93" s="33"/>
      <c r="C93" s="33"/>
      <c r="D93" s="33"/>
      <c r="E93" s="17"/>
      <c r="F93" s="33"/>
      <c r="G93" s="23"/>
      <c r="H93" s="23"/>
      <c r="I93" s="23"/>
    </row>
    <row r="94" spans="2:9" x14ac:dyDescent="0.25">
      <c r="B94" s="33"/>
      <c r="C94" s="33"/>
      <c r="D94" s="33"/>
      <c r="E94" s="17"/>
      <c r="F94" s="33"/>
      <c r="G94" s="23"/>
      <c r="H94" s="23"/>
      <c r="I94" s="23"/>
    </row>
    <row r="95" spans="2:9" x14ac:dyDescent="0.25">
      <c r="B95" s="33"/>
      <c r="C95" s="33"/>
      <c r="D95" s="33"/>
      <c r="E95" s="17"/>
      <c r="F95" s="33"/>
      <c r="G95" s="23"/>
      <c r="H95" s="23"/>
      <c r="I95" s="23"/>
    </row>
    <row r="96" spans="2:9" x14ac:dyDescent="0.25">
      <c r="B96" s="33"/>
      <c r="C96" s="33"/>
      <c r="D96" s="33"/>
      <c r="E96" s="17"/>
      <c r="F96" s="33"/>
      <c r="G96" s="23"/>
      <c r="H96" s="23"/>
      <c r="I96" s="23"/>
    </row>
    <row r="97" spans="2:9" x14ac:dyDescent="0.25">
      <c r="B97" s="33"/>
      <c r="C97" s="33"/>
      <c r="D97" s="33"/>
      <c r="E97" s="17"/>
      <c r="F97" s="33"/>
      <c r="G97" s="23"/>
      <c r="H97" s="23"/>
      <c r="I97" s="23"/>
    </row>
    <row r="98" spans="2:9" x14ac:dyDescent="0.25">
      <c r="B98" s="33"/>
      <c r="C98" s="33"/>
      <c r="D98" s="33"/>
      <c r="E98" s="17"/>
      <c r="F98" s="33"/>
      <c r="G98" s="23"/>
      <c r="H98" s="23"/>
      <c r="I98" s="23"/>
    </row>
    <row r="99" spans="2:9" x14ac:dyDescent="0.25">
      <c r="B99" s="33"/>
      <c r="C99" s="33"/>
      <c r="D99" s="33"/>
      <c r="E99" s="17"/>
      <c r="F99" s="33"/>
      <c r="G99" s="23"/>
      <c r="H99" s="23"/>
      <c r="I99" s="23"/>
    </row>
    <row r="100" spans="2:9" x14ac:dyDescent="0.25">
      <c r="B100" s="33"/>
      <c r="C100" s="33"/>
      <c r="D100" s="33"/>
      <c r="E100" s="17"/>
      <c r="F100" s="33"/>
      <c r="G100" s="23"/>
      <c r="H100" s="23"/>
      <c r="I100" s="23"/>
    </row>
    <row r="101" spans="2:9" x14ac:dyDescent="0.25">
      <c r="B101" s="33"/>
      <c r="C101" s="33"/>
      <c r="D101" s="33"/>
      <c r="E101" s="17"/>
      <c r="F101" s="33"/>
      <c r="G101" s="23"/>
      <c r="H101" s="23"/>
      <c r="I101" s="23"/>
    </row>
    <row r="102" spans="2:9" x14ac:dyDescent="0.25">
      <c r="B102" s="33"/>
      <c r="C102" s="33"/>
      <c r="D102" s="33"/>
      <c r="E102" s="17"/>
      <c r="F102" s="33"/>
      <c r="G102" s="23"/>
      <c r="H102" s="23"/>
      <c r="I102" s="23"/>
    </row>
    <row r="103" spans="2:9" x14ac:dyDescent="0.25">
      <c r="B103" s="33"/>
      <c r="C103" s="33"/>
      <c r="D103" s="33"/>
      <c r="E103" s="17"/>
      <c r="F103" s="33"/>
      <c r="G103" s="23"/>
      <c r="H103" s="23"/>
      <c r="I103" s="23"/>
    </row>
    <row r="104" spans="2:9" x14ac:dyDescent="0.25">
      <c r="B104" s="33"/>
      <c r="C104" s="33"/>
      <c r="D104" s="33"/>
      <c r="E104" s="17"/>
      <c r="F104" s="33"/>
      <c r="G104" s="23"/>
      <c r="H104" s="23"/>
      <c r="I104" s="23"/>
    </row>
    <row r="105" spans="2:9" x14ac:dyDescent="0.25">
      <c r="B105" s="33"/>
      <c r="C105" s="33"/>
      <c r="D105" s="33"/>
      <c r="E105" s="17"/>
      <c r="F105" s="33"/>
      <c r="G105" s="23"/>
      <c r="H105" s="23"/>
      <c r="I105" s="23"/>
    </row>
    <row r="106" spans="2:9" x14ac:dyDescent="0.25">
      <c r="B106" s="33"/>
      <c r="C106" s="33"/>
      <c r="D106" s="33"/>
      <c r="E106" s="17"/>
      <c r="F106" s="33"/>
      <c r="G106" s="23"/>
      <c r="H106" s="23"/>
      <c r="I106" s="23"/>
    </row>
    <row r="107" spans="2:9" x14ac:dyDescent="0.25">
      <c r="B107" s="33"/>
      <c r="C107" s="33"/>
      <c r="D107" s="33"/>
      <c r="E107" s="17"/>
      <c r="F107" s="33"/>
      <c r="G107" s="23"/>
      <c r="H107" s="23"/>
      <c r="I107" s="23"/>
    </row>
    <row r="108" spans="2:9" x14ac:dyDescent="0.25">
      <c r="B108" s="33"/>
      <c r="C108" s="33"/>
      <c r="D108" s="33"/>
      <c r="E108" s="17"/>
      <c r="F108" s="33"/>
      <c r="G108" s="23"/>
      <c r="H108" s="23"/>
      <c r="I108" s="23"/>
    </row>
    <row r="109" spans="2:9" x14ac:dyDescent="0.25">
      <c r="B109" s="33"/>
      <c r="C109" s="33"/>
      <c r="D109" s="33"/>
      <c r="E109" s="17"/>
      <c r="F109" s="33"/>
      <c r="G109" s="23"/>
      <c r="H109" s="23"/>
      <c r="I109" s="23"/>
    </row>
    <row r="110" spans="2:9" x14ac:dyDescent="0.25">
      <c r="B110" s="33"/>
      <c r="C110" s="33"/>
      <c r="D110" s="33"/>
      <c r="E110" s="17"/>
      <c r="F110" s="33"/>
      <c r="G110" s="23"/>
      <c r="H110" s="23"/>
      <c r="I110" s="23"/>
    </row>
    <row r="111" spans="2:9" x14ac:dyDescent="0.25">
      <c r="B111" s="33"/>
      <c r="C111" s="33"/>
      <c r="D111" s="33"/>
      <c r="E111" s="17"/>
      <c r="F111" s="33"/>
      <c r="G111" s="23"/>
      <c r="H111" s="23"/>
      <c r="I111" s="23"/>
    </row>
    <row r="112" spans="2:9" x14ac:dyDescent="0.25">
      <c r="B112" s="33"/>
      <c r="C112" s="33"/>
      <c r="D112" s="33"/>
      <c r="E112" s="17"/>
      <c r="F112" s="33"/>
      <c r="G112" s="23"/>
      <c r="H112" s="23"/>
      <c r="I112" s="23"/>
    </row>
    <row r="113" spans="2:9" x14ac:dyDescent="0.25">
      <c r="B113" s="33"/>
      <c r="C113" s="33"/>
      <c r="D113" s="33"/>
      <c r="E113" s="17"/>
      <c r="F113" s="33"/>
      <c r="G113" s="23"/>
      <c r="H113" s="23"/>
      <c r="I113" s="23"/>
    </row>
    <row r="114" spans="2:9" x14ac:dyDescent="0.25">
      <c r="B114" s="33"/>
      <c r="C114" s="33"/>
      <c r="D114" s="33"/>
      <c r="E114" s="17"/>
      <c r="F114" s="33"/>
      <c r="G114" s="23"/>
      <c r="H114" s="23"/>
      <c r="I114" s="23"/>
    </row>
    <row r="115" spans="2:9" x14ac:dyDescent="0.25">
      <c r="B115" s="33"/>
      <c r="C115" s="33"/>
      <c r="D115" s="33"/>
      <c r="E115" s="17"/>
      <c r="F115" s="33"/>
      <c r="G115" s="23"/>
      <c r="H115" s="23"/>
      <c r="I115" s="23"/>
    </row>
    <row r="116" spans="2:9" x14ac:dyDescent="0.25">
      <c r="B116" s="33"/>
      <c r="C116" s="33"/>
      <c r="D116" s="33"/>
      <c r="E116" s="17"/>
      <c r="F116" s="33"/>
      <c r="G116" s="23"/>
      <c r="H116" s="23"/>
      <c r="I116" s="23"/>
    </row>
    <row r="117" spans="2:9" x14ac:dyDescent="0.25">
      <c r="B117" s="33"/>
      <c r="C117" s="33"/>
      <c r="D117" s="33"/>
      <c r="E117" s="17"/>
      <c r="F117" s="33"/>
      <c r="G117" s="23"/>
      <c r="H117" s="23"/>
      <c r="I117" s="23"/>
    </row>
    <row r="118" spans="2:9" x14ac:dyDescent="0.25">
      <c r="B118" s="33"/>
      <c r="C118" s="33"/>
      <c r="D118" s="33"/>
      <c r="E118" s="17"/>
      <c r="F118" s="33"/>
      <c r="G118" s="23"/>
      <c r="H118" s="23"/>
      <c r="I118" s="23"/>
    </row>
    <row r="119" spans="2:9" x14ac:dyDescent="0.25">
      <c r="B119" s="33"/>
      <c r="C119" s="33"/>
      <c r="D119" s="33"/>
      <c r="E119" s="17"/>
      <c r="F119" s="33"/>
      <c r="G119" s="23"/>
      <c r="H119" s="23"/>
      <c r="I119" s="23"/>
    </row>
    <row r="120" spans="2:9" x14ac:dyDescent="0.25">
      <c r="B120" s="33"/>
      <c r="C120" s="33"/>
      <c r="D120" s="33"/>
      <c r="E120" s="17"/>
      <c r="F120" s="33"/>
      <c r="G120" s="23"/>
      <c r="H120" s="23"/>
      <c r="I120" s="23"/>
    </row>
    <row r="121" spans="2:9" x14ac:dyDescent="0.25">
      <c r="B121" s="33"/>
      <c r="C121" s="33"/>
      <c r="D121" s="33"/>
      <c r="E121" s="17"/>
      <c r="F121" s="33"/>
      <c r="G121" s="23"/>
      <c r="H121" s="23"/>
      <c r="I121" s="23"/>
    </row>
    <row r="122" spans="2:9" x14ac:dyDescent="0.25">
      <c r="B122" s="33"/>
      <c r="C122" s="33"/>
      <c r="D122" s="33"/>
      <c r="E122" s="17"/>
      <c r="F122" s="33"/>
      <c r="G122" s="23"/>
      <c r="H122" s="23"/>
      <c r="I122" s="23"/>
    </row>
    <row r="123" spans="2:9" x14ac:dyDescent="0.25">
      <c r="B123" s="33"/>
      <c r="C123" s="33"/>
      <c r="D123" s="33"/>
      <c r="E123" s="17"/>
      <c r="F123" s="33"/>
      <c r="G123" s="23"/>
      <c r="H123" s="23"/>
      <c r="I123" s="23"/>
    </row>
    <row r="124" spans="2:9" x14ac:dyDescent="0.25">
      <c r="B124" s="33"/>
      <c r="C124" s="33"/>
      <c r="D124" s="33"/>
      <c r="E124" s="17"/>
      <c r="F124" s="33"/>
      <c r="G124" s="23"/>
      <c r="H124" s="23"/>
      <c r="I124" s="23"/>
    </row>
    <row r="125" spans="2:9" x14ac:dyDescent="0.25">
      <c r="B125" s="33"/>
      <c r="C125" s="33"/>
      <c r="D125" s="33"/>
      <c r="E125" s="17"/>
      <c r="F125" s="33"/>
      <c r="G125" s="23"/>
      <c r="H125" s="23"/>
      <c r="I125" s="23"/>
    </row>
    <row r="126" spans="2:9" x14ac:dyDescent="0.25">
      <c r="B126" s="33"/>
      <c r="C126" s="33"/>
      <c r="D126" s="33"/>
      <c r="E126" s="17"/>
      <c r="F126" s="33"/>
      <c r="G126" s="23"/>
      <c r="H126" s="23"/>
      <c r="I126" s="23"/>
    </row>
    <row r="127" spans="2:9" x14ac:dyDescent="0.25">
      <c r="B127" s="33"/>
      <c r="C127" s="33"/>
      <c r="D127" s="33"/>
      <c r="E127" s="17"/>
      <c r="F127" s="33"/>
      <c r="G127" s="23"/>
      <c r="H127" s="23"/>
      <c r="I127" s="23"/>
    </row>
    <row r="128" spans="2:9" x14ac:dyDescent="0.25">
      <c r="B128" s="33"/>
      <c r="C128" s="33"/>
      <c r="D128" s="33"/>
      <c r="E128" s="17"/>
      <c r="F128" s="33"/>
      <c r="G128" s="23"/>
      <c r="H128" s="23"/>
      <c r="I128" s="23"/>
    </row>
    <row r="129" spans="2:9" x14ac:dyDescent="0.25">
      <c r="B129" s="33"/>
      <c r="C129" s="33"/>
      <c r="D129" s="33"/>
      <c r="E129" s="17"/>
      <c r="F129" s="33"/>
      <c r="G129" s="23"/>
      <c r="H129" s="23"/>
      <c r="I129" s="23"/>
    </row>
    <row r="130" spans="2:9" x14ac:dyDescent="0.25">
      <c r="B130" s="33"/>
      <c r="C130" s="33"/>
      <c r="D130" s="33"/>
      <c r="E130" s="17"/>
      <c r="F130" s="33"/>
      <c r="G130" s="23"/>
      <c r="H130" s="23"/>
      <c r="I130" s="23"/>
    </row>
    <row r="131" spans="2:9" x14ac:dyDescent="0.25">
      <c r="B131" s="33"/>
      <c r="C131" s="33"/>
      <c r="D131" s="33"/>
      <c r="E131" s="17"/>
      <c r="F131" s="33"/>
      <c r="G131" s="23"/>
      <c r="H131" s="23"/>
      <c r="I131" s="23"/>
    </row>
    <row r="132" spans="2:9" x14ac:dyDescent="0.25">
      <c r="B132" s="33"/>
      <c r="C132" s="33"/>
      <c r="D132" s="33"/>
      <c r="E132" s="17"/>
      <c r="F132" s="33"/>
      <c r="G132" s="23"/>
      <c r="H132" s="23"/>
      <c r="I132" s="23"/>
    </row>
    <row r="133" spans="2:9" x14ac:dyDescent="0.25">
      <c r="B133" s="33"/>
      <c r="C133" s="33"/>
      <c r="D133" s="33"/>
      <c r="E133" s="17"/>
      <c r="F133" s="33"/>
      <c r="G133" s="23"/>
      <c r="H133" s="23"/>
      <c r="I133" s="23"/>
    </row>
    <row r="134" spans="2:9" x14ac:dyDescent="0.25">
      <c r="B134" s="33"/>
      <c r="C134" s="33"/>
      <c r="D134" s="33"/>
      <c r="E134" s="17"/>
      <c r="F134" s="33"/>
      <c r="G134" s="23"/>
      <c r="H134" s="23"/>
      <c r="I134" s="23"/>
    </row>
    <row r="135" spans="2:9" x14ac:dyDescent="0.25">
      <c r="B135" s="33"/>
      <c r="C135" s="33"/>
      <c r="D135" s="33"/>
      <c r="E135" s="17"/>
      <c r="F135" s="33"/>
      <c r="G135" s="23"/>
      <c r="H135" s="23"/>
      <c r="I135" s="23"/>
    </row>
    <row r="136" spans="2:9" x14ac:dyDescent="0.25">
      <c r="B136" s="33"/>
      <c r="C136" s="33"/>
      <c r="D136" s="33"/>
      <c r="E136" s="17"/>
      <c r="F136" s="33"/>
      <c r="G136" s="23"/>
      <c r="H136" s="23"/>
      <c r="I136" s="23"/>
    </row>
    <row r="137" spans="2:9" x14ac:dyDescent="0.25">
      <c r="B137" s="33"/>
      <c r="C137" s="33"/>
      <c r="D137" s="33"/>
      <c r="E137" s="17"/>
      <c r="F137" s="33"/>
      <c r="G137" s="23"/>
      <c r="H137" s="23"/>
      <c r="I137" s="23"/>
    </row>
    <row r="138" spans="2:9" x14ac:dyDescent="0.25">
      <c r="B138" s="33"/>
      <c r="C138" s="33"/>
      <c r="D138" s="33"/>
      <c r="E138" s="17"/>
      <c r="F138" s="33"/>
      <c r="G138" s="23"/>
      <c r="H138" s="23"/>
      <c r="I138" s="23"/>
    </row>
    <row r="139" spans="2:9" x14ac:dyDescent="0.25">
      <c r="B139" s="33"/>
      <c r="C139" s="33"/>
      <c r="D139" s="33"/>
      <c r="E139" s="17"/>
      <c r="F139" s="33"/>
      <c r="G139" s="23"/>
      <c r="H139" s="23"/>
      <c r="I139" s="23"/>
    </row>
    <row r="140" spans="2:9" x14ac:dyDescent="0.25">
      <c r="B140" s="33"/>
      <c r="C140" s="33"/>
      <c r="D140" s="33"/>
      <c r="E140" s="17"/>
      <c r="F140" s="33"/>
      <c r="G140" s="23"/>
      <c r="H140" s="23"/>
      <c r="I140" s="23"/>
    </row>
    <row r="141" spans="2:9" x14ac:dyDescent="0.25">
      <c r="B141" s="33"/>
      <c r="C141" s="33"/>
      <c r="D141" s="33"/>
      <c r="E141" s="17"/>
      <c r="F141" s="33"/>
      <c r="G141" s="23"/>
      <c r="H141" s="23"/>
      <c r="I141" s="23"/>
    </row>
    <row r="142" spans="2:9" x14ac:dyDescent="0.25">
      <c r="B142" s="33"/>
      <c r="C142" s="33"/>
      <c r="D142" s="33"/>
      <c r="E142" s="17"/>
      <c r="F142" s="33"/>
      <c r="G142" s="23"/>
      <c r="H142" s="23"/>
      <c r="I142" s="23"/>
    </row>
    <row r="143" spans="2:9" x14ac:dyDescent="0.25">
      <c r="B143" s="33"/>
      <c r="C143" s="33"/>
      <c r="D143" s="33"/>
      <c r="E143" s="17"/>
      <c r="F143" s="33"/>
      <c r="G143" s="23"/>
      <c r="H143" s="23"/>
      <c r="I143" s="23"/>
    </row>
    <row r="144" spans="2:9" x14ac:dyDescent="0.25">
      <c r="B144" s="33"/>
      <c r="C144" s="33"/>
      <c r="D144" s="33"/>
      <c r="E144" s="17"/>
      <c r="F144" s="33"/>
      <c r="G144" s="23"/>
      <c r="H144" s="23"/>
      <c r="I144" s="23"/>
    </row>
    <row r="145" spans="2:9" x14ac:dyDescent="0.25">
      <c r="B145" s="33"/>
      <c r="C145" s="33"/>
      <c r="D145" s="33"/>
      <c r="E145" s="17"/>
      <c r="F145" s="33"/>
      <c r="G145" s="23"/>
      <c r="H145" s="23"/>
      <c r="I145" s="23"/>
    </row>
    <row r="146" spans="2:9" x14ac:dyDescent="0.25">
      <c r="B146" s="33"/>
      <c r="C146" s="33"/>
      <c r="D146" s="33"/>
      <c r="E146" s="17"/>
      <c r="F146" s="33"/>
      <c r="G146" s="23"/>
      <c r="H146" s="23"/>
      <c r="I146" s="23"/>
    </row>
    <row r="147" spans="2:9" x14ac:dyDescent="0.25">
      <c r="B147" s="33"/>
      <c r="C147" s="33"/>
      <c r="D147" s="33"/>
      <c r="E147" s="17"/>
      <c r="F147" s="33"/>
      <c r="G147" s="23"/>
      <c r="H147" s="23"/>
      <c r="I147" s="23"/>
    </row>
    <row r="148" spans="2:9" x14ac:dyDescent="0.25">
      <c r="B148" s="33"/>
      <c r="C148" s="33"/>
      <c r="D148" s="33"/>
      <c r="E148" s="17"/>
      <c r="F148" s="33"/>
      <c r="G148" s="23"/>
      <c r="H148" s="23"/>
      <c r="I148" s="23"/>
    </row>
    <row r="149" spans="2:9" x14ac:dyDescent="0.25">
      <c r="B149" s="33"/>
      <c r="C149" s="33"/>
      <c r="D149" s="33"/>
      <c r="E149" s="17"/>
      <c r="F149" s="33"/>
      <c r="G149" s="23"/>
      <c r="H149" s="23"/>
      <c r="I149" s="23"/>
    </row>
    <row r="150" spans="2:9" x14ac:dyDescent="0.25">
      <c r="B150" s="33"/>
      <c r="C150" s="33"/>
      <c r="D150" s="33"/>
      <c r="E150" s="17"/>
      <c r="F150" s="33"/>
      <c r="G150" s="23"/>
      <c r="H150" s="23"/>
      <c r="I150" s="23"/>
    </row>
    <row r="151" spans="2:9" x14ac:dyDescent="0.25">
      <c r="B151" s="33"/>
      <c r="C151" s="33"/>
      <c r="D151" s="33"/>
      <c r="E151" s="17"/>
      <c r="F151" s="33"/>
      <c r="G151" s="23"/>
      <c r="H151" s="23"/>
      <c r="I151" s="23"/>
    </row>
    <row r="152" spans="2:9" x14ac:dyDescent="0.25">
      <c r="B152" s="33"/>
      <c r="C152" s="33"/>
      <c r="D152" s="33"/>
      <c r="E152" s="17"/>
      <c r="F152" s="33"/>
      <c r="G152" s="23"/>
      <c r="H152" s="23"/>
      <c r="I152" s="23"/>
    </row>
    <row r="153" spans="2:9" x14ac:dyDescent="0.25">
      <c r="B153" s="33"/>
      <c r="C153" s="33"/>
      <c r="D153" s="33"/>
      <c r="E153" s="17"/>
      <c r="F153" s="33"/>
      <c r="G153" s="23"/>
      <c r="H153" s="23"/>
      <c r="I153" s="23"/>
    </row>
    <row r="154" spans="2:9" x14ac:dyDescent="0.25">
      <c r="B154" s="33"/>
      <c r="C154" s="33"/>
      <c r="D154" s="33"/>
      <c r="E154" s="17"/>
      <c r="F154" s="33"/>
      <c r="G154" s="23"/>
      <c r="H154" s="23"/>
      <c r="I154" s="23"/>
    </row>
    <row r="155" spans="2:9" x14ac:dyDescent="0.25">
      <c r="B155" s="33"/>
      <c r="C155" s="33"/>
      <c r="D155" s="33"/>
      <c r="E155" s="17"/>
      <c r="F155" s="33"/>
      <c r="G155" s="23"/>
      <c r="H155" s="23"/>
      <c r="I155" s="23"/>
    </row>
    <row r="156" spans="2:9" x14ac:dyDescent="0.25">
      <c r="B156" s="33"/>
      <c r="C156" s="33"/>
      <c r="D156" s="33"/>
      <c r="E156" s="17"/>
      <c r="F156" s="33"/>
      <c r="G156" s="23"/>
      <c r="H156" s="23"/>
      <c r="I156" s="23"/>
    </row>
    <row r="157" spans="2:9" x14ac:dyDescent="0.25">
      <c r="B157" s="33"/>
      <c r="C157" s="33"/>
      <c r="D157" s="33"/>
      <c r="E157" s="17"/>
      <c r="F157" s="33"/>
      <c r="G157" s="23"/>
      <c r="H157" s="23"/>
      <c r="I157" s="23"/>
    </row>
    <row r="158" spans="2:9" x14ac:dyDescent="0.25">
      <c r="B158" s="33"/>
      <c r="C158" s="33"/>
      <c r="D158" s="33"/>
      <c r="E158" s="17"/>
      <c r="F158" s="33"/>
      <c r="G158" s="23"/>
      <c r="H158" s="23"/>
      <c r="I158" s="23"/>
    </row>
    <row r="159" spans="2:9" x14ac:dyDescent="0.25">
      <c r="B159" s="33"/>
      <c r="C159" s="33"/>
      <c r="D159" s="33"/>
      <c r="E159" s="17"/>
      <c r="F159" s="33"/>
      <c r="G159" s="23"/>
      <c r="H159" s="23"/>
      <c r="I159" s="23"/>
    </row>
    <row r="160" spans="2:9" x14ac:dyDescent="0.25">
      <c r="B160" s="33"/>
      <c r="C160" s="33"/>
      <c r="D160" s="33"/>
      <c r="E160" s="17"/>
      <c r="F160" s="33"/>
      <c r="G160" s="23"/>
      <c r="H160" s="23"/>
      <c r="I160" s="23"/>
    </row>
    <row r="161" spans="2:9" x14ac:dyDescent="0.25">
      <c r="B161" s="33"/>
      <c r="C161" s="33"/>
      <c r="D161" s="33"/>
      <c r="E161" s="17"/>
      <c r="F161" s="33"/>
      <c r="G161" s="23"/>
      <c r="H161" s="23"/>
      <c r="I161" s="23"/>
    </row>
    <row r="162" spans="2:9" x14ac:dyDescent="0.25">
      <c r="B162" s="33"/>
      <c r="C162" s="33"/>
      <c r="D162" s="33"/>
      <c r="E162" s="17"/>
      <c r="F162" s="33"/>
      <c r="G162" s="23"/>
      <c r="H162" s="23"/>
      <c r="I162" s="23"/>
    </row>
    <row r="163" spans="2:9" x14ac:dyDescent="0.25">
      <c r="B163" s="33"/>
      <c r="C163" s="33"/>
      <c r="D163" s="33"/>
      <c r="E163" s="17"/>
      <c r="F163" s="33"/>
      <c r="G163" s="23"/>
      <c r="H163" s="23"/>
      <c r="I163" s="23"/>
    </row>
    <row r="164" spans="2:9" x14ac:dyDescent="0.25">
      <c r="B164" s="33"/>
      <c r="C164" s="33"/>
      <c r="D164" s="33"/>
      <c r="E164" s="17"/>
      <c r="F164" s="33"/>
      <c r="G164" s="23"/>
      <c r="H164" s="23"/>
      <c r="I164" s="23"/>
    </row>
    <row r="165" spans="2:9" x14ac:dyDescent="0.25">
      <c r="B165" s="33"/>
      <c r="C165" s="33"/>
      <c r="D165" s="33"/>
      <c r="E165" s="17"/>
      <c r="F165" s="33"/>
      <c r="G165" s="23"/>
      <c r="H165" s="23"/>
      <c r="I165" s="23"/>
    </row>
    <row r="166" spans="2:9" x14ac:dyDescent="0.25">
      <c r="B166" s="33"/>
      <c r="C166" s="33"/>
      <c r="D166" s="33"/>
      <c r="E166" s="17"/>
      <c r="F166" s="33"/>
      <c r="G166" s="23"/>
      <c r="H166" s="23"/>
      <c r="I166" s="23"/>
    </row>
    <row r="167" spans="2:9" x14ac:dyDescent="0.25">
      <c r="B167" s="33"/>
      <c r="C167" s="33"/>
      <c r="D167" s="33"/>
      <c r="E167" s="17"/>
      <c r="F167" s="33"/>
      <c r="G167" s="23"/>
      <c r="H167" s="23"/>
      <c r="I167" s="23"/>
    </row>
    <row r="168" spans="2:9" x14ac:dyDescent="0.25">
      <c r="B168" s="33"/>
      <c r="C168" s="33"/>
      <c r="D168" s="33"/>
      <c r="E168" s="17"/>
      <c r="F168" s="33"/>
      <c r="G168" s="23"/>
      <c r="H168" s="23"/>
      <c r="I168" s="23"/>
    </row>
    <row r="169" spans="2:9" x14ac:dyDescent="0.25">
      <c r="B169" s="33"/>
      <c r="C169" s="33"/>
      <c r="D169" s="33"/>
      <c r="E169" s="17"/>
      <c r="F169" s="33"/>
      <c r="G169" s="23"/>
      <c r="H169" s="23"/>
      <c r="I169" s="23"/>
    </row>
    <row r="170" spans="2:9" x14ac:dyDescent="0.25">
      <c r="B170" s="33"/>
      <c r="C170" s="33"/>
      <c r="D170" s="33"/>
      <c r="E170" s="17"/>
      <c r="F170" s="33"/>
      <c r="G170" s="23"/>
      <c r="H170" s="23"/>
      <c r="I170" s="23"/>
    </row>
    <row r="171" spans="2:9" x14ac:dyDescent="0.25">
      <c r="B171" s="33"/>
      <c r="C171" s="33"/>
      <c r="D171" s="33"/>
      <c r="E171" s="17"/>
      <c r="F171" s="33"/>
      <c r="G171" s="23"/>
      <c r="H171" s="23"/>
      <c r="I171" s="23"/>
    </row>
    <row r="172" spans="2:9" x14ac:dyDescent="0.25">
      <c r="B172" s="33"/>
      <c r="C172" s="33"/>
      <c r="D172" s="33"/>
      <c r="E172" s="17"/>
      <c r="F172" s="33"/>
      <c r="G172" s="23"/>
      <c r="H172" s="23"/>
      <c r="I172" s="23"/>
    </row>
    <row r="173" spans="2:9" x14ac:dyDescent="0.25">
      <c r="B173" s="33"/>
      <c r="C173" s="33"/>
      <c r="D173" s="33"/>
      <c r="E173" s="17"/>
      <c r="F173" s="33"/>
      <c r="G173" s="23"/>
      <c r="H173" s="23"/>
      <c r="I173" s="23"/>
    </row>
    <row r="174" spans="2:9" x14ac:dyDescent="0.25">
      <c r="B174" s="33"/>
      <c r="C174" s="33"/>
      <c r="D174" s="33"/>
      <c r="E174" s="17"/>
      <c r="F174" s="33"/>
      <c r="G174" s="23"/>
      <c r="H174" s="23"/>
      <c r="I174" s="23"/>
    </row>
    <row r="175" spans="2:9" x14ac:dyDescent="0.25">
      <c r="B175" s="33"/>
      <c r="C175" s="33"/>
      <c r="D175" s="33"/>
      <c r="E175" s="17"/>
      <c r="F175" s="33"/>
      <c r="G175" s="23"/>
      <c r="H175" s="23"/>
      <c r="I175" s="23"/>
    </row>
    <row r="176" spans="2:9" x14ac:dyDescent="0.25">
      <c r="B176" s="33"/>
      <c r="C176" s="33"/>
      <c r="D176" s="33"/>
      <c r="E176" s="17"/>
      <c r="F176" s="33"/>
      <c r="G176" s="23"/>
      <c r="H176" s="23"/>
      <c r="I176" s="23"/>
    </row>
    <row r="177" spans="2:9" x14ac:dyDescent="0.25">
      <c r="B177" s="33"/>
      <c r="C177" s="33"/>
      <c r="D177" s="33"/>
      <c r="E177" s="17"/>
      <c r="F177" s="33"/>
      <c r="G177" s="23"/>
      <c r="H177" s="23"/>
      <c r="I177" s="23"/>
    </row>
    <row r="178" spans="2:9" x14ac:dyDescent="0.25">
      <c r="B178" s="33"/>
      <c r="C178" s="33"/>
      <c r="D178" s="33"/>
      <c r="E178" s="17"/>
      <c r="F178" s="33"/>
      <c r="G178" s="23"/>
      <c r="H178" s="23"/>
      <c r="I178" s="23"/>
    </row>
    <row r="179" spans="2:9" x14ac:dyDescent="0.25">
      <c r="B179" s="33"/>
      <c r="C179" s="33"/>
      <c r="D179" s="33"/>
      <c r="E179" s="17"/>
      <c r="F179" s="33"/>
      <c r="G179" s="23"/>
      <c r="H179" s="23"/>
      <c r="I179" s="23"/>
    </row>
    <row r="180" spans="2:9" x14ac:dyDescent="0.25">
      <c r="B180" s="33"/>
      <c r="C180" s="33"/>
      <c r="D180" s="33"/>
      <c r="E180" s="17"/>
      <c r="F180" s="33"/>
      <c r="G180" s="23"/>
      <c r="H180" s="23"/>
      <c r="I180" s="23"/>
    </row>
    <row r="181" spans="2:9" x14ac:dyDescent="0.25">
      <c r="B181" s="33"/>
      <c r="C181" s="33"/>
      <c r="D181" s="33"/>
      <c r="E181" s="17"/>
      <c r="F181" s="33"/>
      <c r="G181" s="23"/>
      <c r="H181" s="23"/>
      <c r="I181" s="23"/>
    </row>
    <row r="182" spans="2:9" x14ac:dyDescent="0.25">
      <c r="B182" s="33"/>
      <c r="C182" s="33"/>
      <c r="D182" s="33"/>
      <c r="E182" s="17"/>
      <c r="F182" s="33"/>
      <c r="G182" s="23"/>
      <c r="H182" s="23"/>
      <c r="I182" s="23"/>
    </row>
    <row r="183" spans="2:9" x14ac:dyDescent="0.25">
      <c r="B183" s="33"/>
      <c r="C183" s="33"/>
      <c r="D183" s="33"/>
      <c r="E183" s="17"/>
      <c r="F183" s="33"/>
      <c r="G183" s="23"/>
      <c r="H183" s="23"/>
      <c r="I183" s="23"/>
    </row>
    <row r="184" spans="2:9" x14ac:dyDescent="0.25">
      <c r="B184" s="33"/>
      <c r="C184" s="33"/>
      <c r="D184" s="33"/>
      <c r="E184" s="17"/>
      <c r="F184" s="33"/>
      <c r="G184" s="23"/>
      <c r="H184" s="23"/>
      <c r="I184" s="23"/>
    </row>
    <row r="185" spans="2:9" x14ac:dyDescent="0.25">
      <c r="B185" s="33"/>
      <c r="C185" s="33"/>
      <c r="D185" s="33"/>
      <c r="E185" s="17"/>
      <c r="F185" s="33"/>
      <c r="G185" s="23"/>
      <c r="H185" s="23"/>
      <c r="I185" s="23"/>
    </row>
    <row r="186" spans="2:9" x14ac:dyDescent="0.25">
      <c r="B186" s="33"/>
      <c r="C186" s="33"/>
      <c r="D186" s="33"/>
      <c r="E186" s="17"/>
      <c r="F186" s="33"/>
      <c r="G186" s="23"/>
      <c r="H186" s="23"/>
      <c r="I186" s="23"/>
    </row>
    <row r="187" spans="2:9" x14ac:dyDescent="0.25">
      <c r="B187" s="33"/>
      <c r="C187" s="33"/>
      <c r="D187" s="33"/>
      <c r="E187" s="17"/>
      <c r="F187" s="33"/>
      <c r="G187" s="23"/>
      <c r="H187" s="23"/>
      <c r="I187" s="23"/>
    </row>
    <row r="188" spans="2:9" x14ac:dyDescent="0.25">
      <c r="B188" s="33"/>
      <c r="C188" s="33"/>
      <c r="D188" s="33"/>
      <c r="E188" s="17"/>
      <c r="F188" s="33"/>
      <c r="G188" s="23"/>
      <c r="H188" s="23"/>
      <c r="I188" s="23"/>
    </row>
    <row r="189" spans="2:9" x14ac:dyDescent="0.25">
      <c r="B189" s="33"/>
      <c r="C189" s="33"/>
      <c r="D189" s="33"/>
      <c r="E189" s="17"/>
      <c r="F189" s="33"/>
      <c r="G189" s="23"/>
      <c r="H189" s="23"/>
      <c r="I189" s="23"/>
    </row>
    <row r="190" spans="2:9" x14ac:dyDescent="0.25">
      <c r="B190" s="33"/>
      <c r="C190" s="33"/>
      <c r="D190" s="33"/>
      <c r="E190" s="17"/>
      <c r="F190" s="33"/>
      <c r="G190" s="23"/>
      <c r="H190" s="23"/>
      <c r="I190" s="23"/>
    </row>
    <row r="191" spans="2:9" x14ac:dyDescent="0.25">
      <c r="B191" s="33"/>
      <c r="C191" s="33"/>
      <c r="D191" s="33"/>
      <c r="E191" s="17"/>
      <c r="F191" s="33"/>
      <c r="G191" s="23"/>
      <c r="H191" s="23"/>
      <c r="I191" s="23"/>
    </row>
    <row r="192" spans="2:9" x14ac:dyDescent="0.25">
      <c r="B192" s="33"/>
      <c r="C192" s="33"/>
      <c r="D192" s="33"/>
      <c r="E192" s="17"/>
      <c r="F192" s="33"/>
      <c r="G192" s="23"/>
      <c r="H192" s="23"/>
      <c r="I192" s="23"/>
    </row>
    <row r="193" spans="2:9" x14ac:dyDescent="0.25">
      <c r="B193" s="33"/>
      <c r="C193" s="33"/>
      <c r="D193" s="33"/>
      <c r="E193" s="17"/>
      <c r="F193" s="33"/>
      <c r="G193" s="23"/>
      <c r="H193" s="23"/>
      <c r="I193" s="23"/>
    </row>
    <row r="194" spans="2:9" x14ac:dyDescent="0.25">
      <c r="B194" s="33"/>
      <c r="C194" s="33"/>
      <c r="D194" s="33"/>
      <c r="E194" s="17"/>
      <c r="F194" s="33"/>
      <c r="G194" s="23"/>
      <c r="H194" s="23"/>
      <c r="I194" s="23"/>
    </row>
    <row r="195" spans="2:9" x14ac:dyDescent="0.25">
      <c r="B195" s="33"/>
      <c r="C195" s="33"/>
      <c r="D195" s="33"/>
      <c r="E195" s="17"/>
      <c r="F195" s="33"/>
      <c r="G195" s="23"/>
      <c r="H195" s="23"/>
      <c r="I195" s="23"/>
    </row>
    <row r="196" spans="2:9" x14ac:dyDescent="0.25">
      <c r="B196" s="33"/>
      <c r="C196" s="33"/>
      <c r="D196" s="33"/>
      <c r="E196" s="17"/>
      <c r="F196" s="33"/>
      <c r="G196" s="23"/>
      <c r="H196" s="23"/>
      <c r="I196" s="23"/>
    </row>
    <row r="197" spans="2:9" x14ac:dyDescent="0.25">
      <c r="B197" s="33"/>
      <c r="C197" s="33"/>
      <c r="D197" s="33"/>
      <c r="E197" s="17"/>
      <c r="F197" s="33"/>
      <c r="G197" s="23"/>
      <c r="H197" s="23"/>
      <c r="I197" s="23"/>
    </row>
    <row r="198" spans="2:9" x14ac:dyDescent="0.25">
      <c r="B198" s="33"/>
      <c r="C198" s="33"/>
      <c r="D198" s="33"/>
      <c r="E198" s="17"/>
      <c r="F198" s="33"/>
      <c r="G198" s="23"/>
      <c r="H198" s="23"/>
      <c r="I198" s="23"/>
    </row>
    <row r="199" spans="2:9" x14ac:dyDescent="0.25">
      <c r="B199" s="33"/>
      <c r="C199" s="33"/>
      <c r="D199" s="33"/>
      <c r="E199" s="17"/>
      <c r="F199" s="33"/>
      <c r="G199" s="23"/>
      <c r="H199" s="23"/>
      <c r="I199" s="23"/>
    </row>
    <row r="200" spans="2:9" x14ac:dyDescent="0.25">
      <c r="B200" s="33"/>
      <c r="C200" s="33"/>
      <c r="D200" s="33"/>
      <c r="E200" s="17"/>
      <c r="F200" s="33"/>
      <c r="G200" s="23"/>
      <c r="H200" s="23"/>
      <c r="I200" s="23"/>
    </row>
    <row r="201" spans="2:9" x14ac:dyDescent="0.25">
      <c r="B201" s="33"/>
      <c r="C201" s="33"/>
      <c r="D201" s="33"/>
      <c r="E201" s="17"/>
      <c r="F201" s="33"/>
      <c r="G201" s="23"/>
      <c r="H201" s="23"/>
      <c r="I201" s="23"/>
    </row>
    <row r="202" spans="2:9" x14ac:dyDescent="0.25">
      <c r="B202" s="33"/>
      <c r="C202" s="33"/>
      <c r="D202" s="33"/>
      <c r="E202" s="17"/>
      <c r="F202" s="33"/>
      <c r="G202" s="23"/>
      <c r="H202" s="23"/>
      <c r="I202" s="23"/>
    </row>
    <row r="203" spans="2:9" x14ac:dyDescent="0.25">
      <c r="B203" s="33"/>
      <c r="C203" s="33"/>
      <c r="D203" s="33"/>
      <c r="E203" s="17"/>
      <c r="F203" s="33"/>
      <c r="G203" s="23"/>
      <c r="H203" s="23"/>
      <c r="I203" s="23"/>
    </row>
    <row r="204" spans="2:9" x14ac:dyDescent="0.25">
      <c r="B204" s="33"/>
      <c r="C204" s="33"/>
      <c r="D204" s="33"/>
      <c r="E204" s="17"/>
      <c r="F204" s="33"/>
      <c r="G204" s="23"/>
      <c r="H204" s="23"/>
      <c r="I204" s="23"/>
    </row>
    <row r="205" spans="2:9" x14ac:dyDescent="0.25">
      <c r="B205" s="33"/>
      <c r="C205" s="33"/>
      <c r="D205" s="33"/>
      <c r="E205" s="17"/>
      <c r="F205" s="33"/>
      <c r="G205" s="23"/>
      <c r="H205" s="23"/>
      <c r="I205" s="23"/>
    </row>
    <row r="206" spans="2:9" x14ac:dyDescent="0.25">
      <c r="B206" s="33"/>
      <c r="C206" s="33"/>
      <c r="D206" s="33"/>
      <c r="E206" s="17"/>
      <c r="F206" s="33"/>
      <c r="G206" s="23"/>
      <c r="H206" s="23"/>
      <c r="I206" s="23"/>
    </row>
    <row r="207" spans="2:9" x14ac:dyDescent="0.25">
      <c r="B207" s="33"/>
      <c r="C207" s="33"/>
      <c r="D207" s="33"/>
      <c r="E207" s="17"/>
      <c r="F207" s="33"/>
      <c r="G207" s="23"/>
      <c r="H207" s="23"/>
      <c r="I207" s="23"/>
    </row>
    <row r="208" spans="2:9" x14ac:dyDescent="0.25">
      <c r="B208" s="33"/>
      <c r="C208" s="33"/>
      <c r="D208" s="33"/>
      <c r="E208" s="17"/>
      <c r="F208" s="33"/>
      <c r="G208" s="23"/>
      <c r="H208" s="23"/>
      <c r="I208" s="23"/>
    </row>
    <row r="209" spans="2:9" x14ac:dyDescent="0.25">
      <c r="B209" s="33"/>
      <c r="C209" s="33"/>
      <c r="D209" s="33"/>
      <c r="E209" s="17"/>
      <c r="F209" s="33"/>
      <c r="G209" s="23"/>
      <c r="H209" s="23"/>
      <c r="I209" s="23"/>
    </row>
    <row r="210" spans="2:9" x14ac:dyDescent="0.25">
      <c r="B210" s="33"/>
      <c r="C210" s="33"/>
      <c r="D210" s="33"/>
      <c r="E210" s="17"/>
      <c r="F210" s="33"/>
      <c r="G210" s="23"/>
      <c r="H210" s="23"/>
      <c r="I210" s="23"/>
    </row>
    <row r="211" spans="2:9" x14ac:dyDescent="0.25">
      <c r="B211" s="33"/>
      <c r="C211" s="33"/>
      <c r="D211" s="33"/>
      <c r="E211" s="17"/>
      <c r="F211" s="33"/>
      <c r="G211" s="23"/>
      <c r="H211" s="23"/>
      <c r="I211" s="23"/>
    </row>
    <row r="212" spans="2:9" x14ac:dyDescent="0.25">
      <c r="B212" s="33"/>
      <c r="C212" s="33"/>
      <c r="D212" s="33"/>
      <c r="E212" s="17"/>
      <c r="F212" s="33"/>
      <c r="G212" s="23"/>
      <c r="H212" s="23"/>
      <c r="I212" s="23"/>
    </row>
    <row r="213" spans="2:9" x14ac:dyDescent="0.25">
      <c r="B213" s="33"/>
      <c r="C213" s="33"/>
      <c r="D213" s="33"/>
      <c r="E213" s="17"/>
      <c r="F213" s="33"/>
      <c r="G213" s="23"/>
      <c r="H213" s="23"/>
      <c r="I213" s="23"/>
    </row>
    <row r="214" spans="2:9" x14ac:dyDescent="0.25">
      <c r="B214" s="33"/>
      <c r="C214" s="33"/>
      <c r="D214" s="33"/>
      <c r="E214" s="17"/>
      <c r="F214" s="33"/>
      <c r="G214" s="23"/>
      <c r="H214" s="23"/>
      <c r="I214" s="23"/>
    </row>
    <row r="215" spans="2:9" x14ac:dyDescent="0.25">
      <c r="B215" s="33"/>
      <c r="C215" s="33"/>
      <c r="D215" s="33"/>
      <c r="E215" s="17"/>
      <c r="F215" s="33"/>
      <c r="G215" s="23"/>
      <c r="H215" s="23"/>
      <c r="I215" s="23"/>
    </row>
    <row r="216" spans="2:9" x14ac:dyDescent="0.25">
      <c r="B216" s="33"/>
      <c r="C216" s="33"/>
      <c r="D216" s="33"/>
      <c r="E216" s="17"/>
      <c r="F216" s="33"/>
      <c r="G216" s="23"/>
      <c r="H216" s="23"/>
      <c r="I216" s="23"/>
    </row>
    <row r="217" spans="2:9" x14ac:dyDescent="0.25">
      <c r="B217" s="33"/>
      <c r="C217" s="33"/>
      <c r="D217" s="33"/>
      <c r="E217" s="17"/>
      <c r="F217" s="33"/>
      <c r="G217" s="23"/>
      <c r="H217" s="23"/>
      <c r="I217" s="23"/>
    </row>
    <row r="218" spans="2:9" x14ac:dyDescent="0.25">
      <c r="B218" s="33"/>
      <c r="C218" s="33"/>
      <c r="D218" s="33"/>
      <c r="E218" s="17"/>
      <c r="F218" s="33"/>
      <c r="G218" s="23"/>
      <c r="H218" s="23"/>
      <c r="I218" s="23"/>
    </row>
    <row r="219" spans="2:9" x14ac:dyDescent="0.25">
      <c r="B219" s="33"/>
      <c r="C219" s="33"/>
      <c r="D219" s="33"/>
      <c r="E219" s="17"/>
      <c r="F219" s="33"/>
      <c r="G219" s="23"/>
      <c r="H219" s="23"/>
      <c r="I219" s="23"/>
    </row>
    <row r="220" spans="2:9" x14ac:dyDescent="0.25">
      <c r="B220" s="33"/>
      <c r="C220" s="33"/>
      <c r="D220" s="33"/>
      <c r="E220" s="17"/>
      <c r="F220" s="33"/>
      <c r="G220" s="23"/>
      <c r="H220" s="23"/>
      <c r="I220" s="23"/>
    </row>
    <row r="221" spans="2:9" x14ac:dyDescent="0.25">
      <c r="B221" s="33"/>
      <c r="C221" s="33"/>
      <c r="D221" s="33"/>
      <c r="E221" s="17"/>
      <c r="F221" s="33"/>
      <c r="G221" s="23"/>
      <c r="H221" s="23"/>
      <c r="I221" s="23"/>
    </row>
    <row r="222" spans="2:9" x14ac:dyDescent="0.25">
      <c r="B222" s="33"/>
      <c r="C222" s="33"/>
      <c r="D222" s="33"/>
      <c r="E222" s="17"/>
      <c r="F222" s="33"/>
      <c r="G222" s="23"/>
      <c r="H222" s="23"/>
      <c r="I222" s="23"/>
    </row>
    <row r="223" spans="2:9" x14ac:dyDescent="0.25">
      <c r="B223" s="33"/>
      <c r="C223" s="33"/>
      <c r="D223" s="33"/>
      <c r="E223" s="17"/>
      <c r="F223" s="33"/>
      <c r="G223" s="23"/>
      <c r="H223" s="23"/>
      <c r="I223" s="23"/>
    </row>
    <row r="224" spans="2:9" x14ac:dyDescent="0.25">
      <c r="B224" s="33"/>
      <c r="C224" s="33"/>
      <c r="D224" s="33"/>
      <c r="E224" s="17"/>
      <c r="F224" s="33"/>
      <c r="G224" s="23"/>
      <c r="H224" s="23"/>
      <c r="I224" s="23"/>
    </row>
    <row r="225" spans="2:9" x14ac:dyDescent="0.25">
      <c r="B225" s="33"/>
      <c r="C225" s="33"/>
      <c r="D225" s="33"/>
      <c r="E225" s="17"/>
      <c r="F225" s="33"/>
      <c r="G225" s="23"/>
      <c r="H225" s="23"/>
      <c r="I225" s="23"/>
    </row>
    <row r="226" spans="2:9" x14ac:dyDescent="0.25">
      <c r="B226" s="33"/>
      <c r="C226" s="33"/>
      <c r="D226" s="33"/>
      <c r="E226" s="17"/>
      <c r="F226" s="33"/>
      <c r="G226" s="23"/>
      <c r="H226" s="23"/>
      <c r="I226" s="23"/>
    </row>
    <row r="227" spans="2:9" x14ac:dyDescent="0.25">
      <c r="B227" s="33"/>
      <c r="C227" s="33"/>
      <c r="D227" s="33"/>
      <c r="E227" s="17"/>
      <c r="F227" s="33"/>
      <c r="G227" s="23"/>
      <c r="H227" s="23"/>
      <c r="I227" s="23"/>
    </row>
    <row r="228" spans="2:9" x14ac:dyDescent="0.25">
      <c r="B228" s="33"/>
      <c r="C228" s="33"/>
      <c r="D228" s="33"/>
      <c r="E228" s="17"/>
      <c r="F228" s="33"/>
      <c r="G228" s="23"/>
      <c r="H228" s="23"/>
      <c r="I228" s="23"/>
    </row>
    <row r="229" spans="2:9" x14ac:dyDescent="0.25">
      <c r="B229" s="33"/>
      <c r="C229" s="33"/>
      <c r="D229" s="33"/>
      <c r="E229" s="17"/>
      <c r="F229" s="33"/>
      <c r="G229" s="23"/>
      <c r="H229" s="23"/>
      <c r="I229" s="23"/>
    </row>
    <row r="230" spans="2:9" x14ac:dyDescent="0.25">
      <c r="B230" s="33"/>
      <c r="C230" s="33"/>
      <c r="D230" s="33"/>
      <c r="E230" s="17"/>
      <c r="F230" s="33"/>
      <c r="G230" s="23"/>
      <c r="H230" s="23"/>
      <c r="I230" s="23"/>
    </row>
    <row r="231" spans="2:9" x14ac:dyDescent="0.25">
      <c r="B231" s="33"/>
      <c r="C231" s="33"/>
      <c r="D231" s="33"/>
      <c r="E231" s="17"/>
      <c r="F231" s="33"/>
      <c r="G231" s="23"/>
      <c r="H231" s="23"/>
      <c r="I231" s="23"/>
    </row>
    <row r="232" spans="2:9" x14ac:dyDescent="0.25">
      <c r="B232" s="33"/>
      <c r="C232" s="33"/>
      <c r="D232" s="33"/>
      <c r="E232" s="17"/>
      <c r="F232" s="33"/>
      <c r="G232" s="23"/>
      <c r="H232" s="23"/>
      <c r="I232" s="23"/>
    </row>
    <row r="233" spans="2:9" x14ac:dyDescent="0.25">
      <c r="B233" s="33"/>
      <c r="C233" s="33"/>
      <c r="D233" s="33"/>
      <c r="E233" s="17"/>
      <c r="F233" s="33"/>
      <c r="G233" s="23"/>
      <c r="H233" s="23"/>
      <c r="I233" s="23"/>
    </row>
    <row r="234" spans="2:9" x14ac:dyDescent="0.25">
      <c r="B234" s="33"/>
      <c r="C234" s="33"/>
      <c r="D234" s="33"/>
      <c r="E234" s="17"/>
      <c r="F234" s="33"/>
      <c r="G234" s="23"/>
      <c r="H234" s="23"/>
      <c r="I234" s="23"/>
    </row>
    <row r="235" spans="2:9" x14ac:dyDescent="0.25">
      <c r="B235" s="33"/>
      <c r="C235" s="33"/>
      <c r="D235" s="33"/>
      <c r="E235" s="17"/>
      <c r="F235" s="33"/>
      <c r="G235" s="23"/>
      <c r="H235" s="23"/>
      <c r="I235" s="23"/>
    </row>
    <row r="236" spans="2:9" x14ac:dyDescent="0.25">
      <c r="B236" s="33"/>
      <c r="C236" s="33"/>
      <c r="D236" s="33"/>
      <c r="E236" s="17"/>
      <c r="F236" s="33"/>
      <c r="G236" s="23"/>
      <c r="H236" s="23"/>
      <c r="I236" s="23"/>
    </row>
    <row r="237" spans="2:9" x14ac:dyDescent="0.25">
      <c r="B237" s="33"/>
      <c r="C237" s="33"/>
      <c r="D237" s="33"/>
      <c r="E237" s="17"/>
      <c r="F237" s="33"/>
      <c r="G237" s="23"/>
      <c r="H237" s="23"/>
      <c r="I237" s="23"/>
    </row>
    <row r="238" spans="2:9" x14ac:dyDescent="0.25">
      <c r="B238" s="33"/>
      <c r="C238" s="33"/>
      <c r="D238" s="33"/>
      <c r="E238" s="17"/>
      <c r="F238" s="33"/>
      <c r="G238" s="23"/>
      <c r="H238" s="23"/>
      <c r="I238" s="23"/>
    </row>
    <row r="239" spans="2:9" x14ac:dyDescent="0.25">
      <c r="B239" s="33"/>
      <c r="C239" s="33"/>
      <c r="D239" s="33"/>
      <c r="E239" s="17"/>
      <c r="F239" s="33"/>
      <c r="G239" s="23"/>
      <c r="H239" s="23"/>
      <c r="I239" s="23"/>
    </row>
    <row r="240" spans="2:9" x14ac:dyDescent="0.25">
      <c r="B240" s="33"/>
      <c r="C240" s="33"/>
      <c r="D240" s="33"/>
      <c r="E240" s="17"/>
      <c r="F240" s="33"/>
      <c r="G240" s="23"/>
      <c r="H240" s="23"/>
      <c r="I240" s="23"/>
    </row>
    <row r="241" spans="2:9" x14ac:dyDescent="0.25">
      <c r="B241" s="33"/>
      <c r="C241" s="33"/>
      <c r="D241" s="33"/>
      <c r="E241" s="17"/>
      <c r="F241" s="33"/>
      <c r="G241" s="23"/>
      <c r="H241" s="23"/>
      <c r="I241" s="23"/>
    </row>
    <row r="242" spans="2:9" x14ac:dyDescent="0.25">
      <c r="B242" s="33"/>
      <c r="C242" s="33"/>
      <c r="D242" s="33"/>
      <c r="E242" s="17"/>
      <c r="F242" s="33"/>
      <c r="G242" s="23"/>
      <c r="H242" s="23"/>
      <c r="I242" s="23"/>
    </row>
    <row r="243" spans="2:9" x14ac:dyDescent="0.25">
      <c r="B243" s="33"/>
      <c r="C243" s="33"/>
      <c r="D243" s="33"/>
      <c r="E243" s="17"/>
      <c r="F243" s="33"/>
      <c r="G243" s="23"/>
      <c r="H243" s="23"/>
      <c r="I243" s="23"/>
    </row>
    <row r="244" spans="2:9" x14ac:dyDescent="0.25">
      <c r="B244" s="33"/>
      <c r="C244" s="33"/>
      <c r="D244" s="33"/>
      <c r="E244" s="17"/>
      <c r="F244" s="33"/>
      <c r="G244" s="23"/>
      <c r="H244" s="23"/>
      <c r="I244" s="23"/>
    </row>
    <row r="245" spans="2:9" x14ac:dyDescent="0.25">
      <c r="B245" s="33"/>
      <c r="C245" s="33"/>
      <c r="D245" s="33"/>
      <c r="E245" s="17"/>
      <c r="F245" s="33"/>
      <c r="G245" s="23"/>
      <c r="H245" s="23"/>
      <c r="I245" s="23"/>
    </row>
    <row r="246" spans="2:9" x14ac:dyDescent="0.25">
      <c r="B246" s="33"/>
      <c r="C246" s="33"/>
      <c r="D246" s="33"/>
      <c r="E246" s="17"/>
      <c r="F246" s="33"/>
      <c r="G246" s="23"/>
      <c r="H246" s="23"/>
      <c r="I246" s="23"/>
    </row>
    <row r="247" spans="2:9" x14ac:dyDescent="0.25">
      <c r="B247" s="33"/>
      <c r="C247" s="33"/>
      <c r="D247" s="33"/>
      <c r="E247" s="17"/>
      <c r="F247" s="33"/>
      <c r="G247" s="23"/>
      <c r="H247" s="23"/>
      <c r="I247" s="23"/>
    </row>
    <row r="248" spans="2:9" x14ac:dyDescent="0.25">
      <c r="B248" s="33"/>
      <c r="C248" s="33"/>
      <c r="D248" s="33"/>
      <c r="E248" s="17"/>
      <c r="F248" s="33"/>
      <c r="G248" s="23"/>
      <c r="H248" s="23"/>
      <c r="I248" s="23"/>
    </row>
    <row r="249" spans="2:9" x14ac:dyDescent="0.25">
      <c r="B249" s="33"/>
      <c r="C249" s="33"/>
      <c r="D249" s="33"/>
      <c r="E249" s="17"/>
      <c r="F249" s="33"/>
      <c r="G249" s="23"/>
      <c r="H249" s="23"/>
      <c r="I249" s="23"/>
    </row>
    <row r="250" spans="2:9" x14ac:dyDescent="0.25">
      <c r="B250" s="33"/>
      <c r="C250" s="33"/>
      <c r="D250" s="33"/>
      <c r="E250" s="17"/>
      <c r="F250" s="33"/>
      <c r="G250" s="23"/>
      <c r="H250" s="23"/>
      <c r="I250" s="23"/>
    </row>
    <row r="251" spans="2:9" x14ac:dyDescent="0.25">
      <c r="B251" s="33"/>
      <c r="C251" s="33"/>
      <c r="D251" s="33"/>
      <c r="E251" s="17"/>
      <c r="F251" s="33"/>
      <c r="G251" s="23"/>
      <c r="H251" s="23"/>
      <c r="I251" s="23"/>
    </row>
    <row r="252" spans="2:9" x14ac:dyDescent="0.25">
      <c r="B252" s="33"/>
      <c r="C252" s="33"/>
      <c r="D252" s="33"/>
      <c r="E252" s="17"/>
      <c r="F252" s="33"/>
      <c r="G252" s="23"/>
      <c r="H252" s="23"/>
      <c r="I252" s="23"/>
    </row>
    <row r="253" spans="2:9" x14ac:dyDescent="0.25">
      <c r="B253" s="33"/>
      <c r="C253" s="33"/>
      <c r="D253" s="33"/>
      <c r="E253" s="17"/>
      <c r="F253" s="33"/>
      <c r="G253" s="23"/>
      <c r="H253" s="23"/>
      <c r="I253" s="23"/>
    </row>
    <row r="254" spans="2:9" x14ac:dyDescent="0.25">
      <c r="B254" s="33"/>
      <c r="C254" s="33"/>
      <c r="D254" s="33"/>
      <c r="E254" s="17"/>
      <c r="F254" s="33"/>
      <c r="G254" s="23"/>
      <c r="H254" s="23"/>
      <c r="I254" s="23"/>
    </row>
    <row r="255" spans="2:9" x14ac:dyDescent="0.25">
      <c r="B255" s="33"/>
      <c r="C255" s="33"/>
      <c r="D255" s="33"/>
      <c r="E255" s="17"/>
      <c r="F255" s="33"/>
      <c r="G255" s="23"/>
      <c r="H255" s="23"/>
      <c r="I255" s="23"/>
    </row>
    <row r="256" spans="2:9" x14ac:dyDescent="0.25">
      <c r="B256" s="33"/>
      <c r="C256" s="33"/>
      <c r="D256" s="33"/>
      <c r="E256" s="17"/>
      <c r="F256" s="33"/>
      <c r="G256" s="23"/>
      <c r="H256" s="23"/>
      <c r="I256" s="23"/>
    </row>
    <row r="257" spans="2:9" x14ac:dyDescent="0.25">
      <c r="B257" s="33"/>
      <c r="C257" s="33"/>
      <c r="D257" s="33"/>
      <c r="E257" s="17"/>
      <c r="F257" s="33"/>
      <c r="G257" s="23"/>
      <c r="H257" s="23"/>
      <c r="I257" s="23"/>
    </row>
    <row r="258" spans="2:9" x14ac:dyDescent="0.25">
      <c r="B258" s="33"/>
      <c r="C258" s="33"/>
      <c r="D258" s="33"/>
      <c r="E258" s="17"/>
      <c r="F258" s="33"/>
      <c r="G258" s="23"/>
      <c r="H258" s="23"/>
      <c r="I258" s="23"/>
    </row>
    <row r="259" spans="2:9" x14ac:dyDescent="0.25">
      <c r="B259" s="33"/>
      <c r="C259" s="33"/>
      <c r="D259" s="33"/>
      <c r="E259" s="17"/>
      <c r="F259" s="33"/>
      <c r="G259" s="23"/>
      <c r="H259" s="23"/>
      <c r="I259" s="23"/>
    </row>
    <row r="260" spans="2:9" x14ac:dyDescent="0.25">
      <c r="B260" s="33"/>
      <c r="C260" s="33"/>
      <c r="D260" s="33"/>
      <c r="E260" s="17"/>
      <c r="F260" s="33"/>
      <c r="G260" s="23"/>
      <c r="H260" s="23"/>
      <c r="I260" s="23"/>
    </row>
    <row r="261" spans="2:9" x14ac:dyDescent="0.25">
      <c r="B261" s="33"/>
      <c r="C261" s="33"/>
      <c r="D261" s="33"/>
      <c r="E261" s="17"/>
      <c r="F261" s="33"/>
      <c r="G261" s="23"/>
      <c r="H261" s="23"/>
      <c r="I261" s="23"/>
    </row>
    <row r="262" spans="2:9" x14ac:dyDescent="0.25">
      <c r="B262" s="33"/>
      <c r="C262" s="33"/>
      <c r="D262" s="33"/>
      <c r="E262" s="17"/>
      <c r="F262" s="33"/>
      <c r="G262" s="23"/>
      <c r="H262" s="23"/>
      <c r="I262" s="23"/>
    </row>
    <row r="263" spans="2:9" x14ac:dyDescent="0.25">
      <c r="B263" s="33"/>
      <c r="C263" s="33"/>
      <c r="D263" s="33"/>
      <c r="E263" s="17"/>
      <c r="F263" s="33"/>
      <c r="G263" s="23"/>
      <c r="H263" s="23"/>
      <c r="I263" s="23"/>
    </row>
    <row r="264" spans="2:9" x14ac:dyDescent="0.25">
      <c r="B264" s="33"/>
      <c r="C264" s="33"/>
      <c r="D264" s="33"/>
      <c r="E264" s="17"/>
      <c r="F264" s="33"/>
      <c r="G264" s="23"/>
      <c r="H264" s="23"/>
      <c r="I264" s="23"/>
    </row>
    <row r="265" spans="2:9" x14ac:dyDescent="0.25">
      <c r="B265" s="33"/>
      <c r="C265" s="33"/>
      <c r="D265" s="33"/>
      <c r="E265" s="17"/>
      <c r="F265" s="33"/>
      <c r="G265" s="23"/>
      <c r="H265" s="23"/>
      <c r="I265" s="23"/>
    </row>
    <row r="266" spans="2:9" x14ac:dyDescent="0.25">
      <c r="B266" s="33"/>
      <c r="C266" s="33"/>
      <c r="D266" s="33"/>
      <c r="E266" s="17"/>
      <c r="F266" s="33"/>
      <c r="G266" s="23"/>
      <c r="H266" s="23"/>
      <c r="I266" s="23"/>
    </row>
    <row r="267" spans="2:9" x14ac:dyDescent="0.25">
      <c r="B267" s="33"/>
      <c r="C267" s="33"/>
      <c r="D267" s="33"/>
      <c r="E267" s="17"/>
      <c r="F267" s="33"/>
      <c r="G267" s="23"/>
      <c r="H267" s="23"/>
      <c r="I267" s="23"/>
    </row>
    <row r="268" spans="2:9" x14ac:dyDescent="0.25">
      <c r="B268" s="33"/>
      <c r="C268" s="33"/>
      <c r="D268" s="33"/>
      <c r="E268" s="17"/>
      <c r="F268" s="33"/>
      <c r="G268" s="23"/>
      <c r="H268" s="23"/>
      <c r="I268" s="23"/>
    </row>
    <row r="269" spans="2:9" x14ac:dyDescent="0.25">
      <c r="B269" s="33"/>
      <c r="C269" s="33"/>
      <c r="D269" s="33"/>
      <c r="E269" s="17"/>
      <c r="F269" s="33"/>
      <c r="G269" s="23"/>
      <c r="H269" s="23"/>
      <c r="I269" s="23"/>
    </row>
    <row r="270" spans="2:9" x14ac:dyDescent="0.25">
      <c r="B270" s="33"/>
      <c r="C270" s="33"/>
      <c r="D270" s="33"/>
      <c r="E270" s="17"/>
      <c r="F270" s="33"/>
      <c r="G270" s="23"/>
      <c r="H270" s="23"/>
      <c r="I270" s="23"/>
    </row>
    <row r="271" spans="2:9" x14ac:dyDescent="0.25">
      <c r="B271" s="33"/>
      <c r="C271" s="33"/>
      <c r="D271" s="33"/>
      <c r="E271" s="17"/>
      <c r="F271" s="33"/>
      <c r="G271" s="23"/>
      <c r="H271" s="23"/>
      <c r="I271" s="23"/>
    </row>
    <row r="272" spans="2:9" x14ac:dyDescent="0.25">
      <c r="B272" s="33"/>
      <c r="C272" s="33"/>
      <c r="D272" s="33"/>
      <c r="E272" s="17"/>
      <c r="F272" s="33"/>
      <c r="G272" s="23"/>
      <c r="H272" s="23"/>
      <c r="I272" s="23"/>
    </row>
    <row r="273" spans="2:9" x14ac:dyDescent="0.25">
      <c r="B273" s="33"/>
      <c r="C273" s="33"/>
      <c r="D273" s="33"/>
      <c r="E273" s="17"/>
      <c r="F273" s="33"/>
      <c r="G273" s="23"/>
      <c r="H273" s="23"/>
      <c r="I273" s="23"/>
    </row>
    <row r="274" spans="2:9" x14ac:dyDescent="0.25">
      <c r="B274" s="33"/>
      <c r="C274" s="33"/>
      <c r="D274" s="33"/>
      <c r="E274" s="17"/>
      <c r="F274" s="33"/>
      <c r="G274" s="23"/>
      <c r="H274" s="23"/>
      <c r="I274" s="23"/>
    </row>
    <row r="275" spans="2:9" x14ac:dyDescent="0.25">
      <c r="B275" s="33"/>
      <c r="C275" s="33"/>
      <c r="D275" s="33"/>
      <c r="E275" s="17"/>
      <c r="F275" s="33"/>
      <c r="G275" s="23"/>
      <c r="H275" s="23"/>
      <c r="I275" s="23"/>
    </row>
    <row r="276" spans="2:9" x14ac:dyDescent="0.25">
      <c r="B276" s="33"/>
      <c r="C276" s="33"/>
      <c r="D276" s="33"/>
      <c r="E276" s="17"/>
      <c r="F276" s="33"/>
      <c r="G276" s="23"/>
      <c r="H276" s="23"/>
      <c r="I276" s="23"/>
    </row>
    <row r="277" spans="2:9" x14ac:dyDescent="0.25">
      <c r="B277" s="33"/>
      <c r="C277" s="33"/>
      <c r="D277" s="33"/>
      <c r="E277" s="17"/>
      <c r="F277" s="33"/>
      <c r="G277" s="23"/>
      <c r="H277" s="23"/>
      <c r="I277" s="23"/>
    </row>
    <row r="278" spans="2:9" x14ac:dyDescent="0.25">
      <c r="B278" s="33"/>
      <c r="C278" s="33"/>
      <c r="D278" s="33"/>
      <c r="E278" s="17"/>
      <c r="F278" s="33"/>
      <c r="G278" s="23"/>
      <c r="H278" s="23"/>
      <c r="I278" s="23"/>
    </row>
    <row r="279" spans="2:9" x14ac:dyDescent="0.25">
      <c r="B279" s="33"/>
      <c r="C279" s="33"/>
      <c r="D279" s="33"/>
      <c r="E279" s="17"/>
      <c r="F279" s="33"/>
      <c r="G279" s="23"/>
      <c r="H279" s="23"/>
      <c r="I279" s="23"/>
    </row>
    <row r="280" spans="2:9" x14ac:dyDescent="0.25">
      <c r="B280" s="33"/>
      <c r="C280" s="33"/>
      <c r="D280" s="33"/>
      <c r="E280" s="17"/>
      <c r="F280" s="33"/>
      <c r="G280" s="23"/>
      <c r="H280" s="23"/>
      <c r="I280" s="23"/>
    </row>
    <row r="281" spans="2:9" x14ac:dyDescent="0.25">
      <c r="B281" s="33"/>
      <c r="C281" s="33"/>
      <c r="D281" s="33"/>
      <c r="E281" s="17"/>
      <c r="F281" s="33"/>
      <c r="G281" s="23"/>
      <c r="H281" s="23"/>
      <c r="I281" s="23"/>
    </row>
    <row r="282" spans="2:9" x14ac:dyDescent="0.25">
      <c r="B282" s="33"/>
      <c r="C282" s="33"/>
      <c r="D282" s="33"/>
      <c r="E282" s="17"/>
      <c r="F282" s="33"/>
      <c r="G282" s="23"/>
      <c r="H282" s="23"/>
      <c r="I282" s="23"/>
    </row>
    <row r="283" spans="2:9" x14ac:dyDescent="0.25">
      <c r="B283" s="33"/>
      <c r="C283" s="33"/>
      <c r="D283" s="33"/>
      <c r="E283" s="17"/>
      <c r="F283" s="33"/>
      <c r="G283" s="23"/>
      <c r="H283" s="23"/>
      <c r="I283" s="23"/>
    </row>
    <row r="284" spans="2:9" x14ac:dyDescent="0.25">
      <c r="B284" s="33"/>
      <c r="C284" s="33"/>
      <c r="D284" s="33"/>
      <c r="E284" s="17"/>
      <c r="F284" s="33"/>
      <c r="G284" s="23"/>
      <c r="H284" s="23"/>
      <c r="I284" s="23"/>
    </row>
    <row r="285" spans="2:9" x14ac:dyDescent="0.25">
      <c r="B285" s="33"/>
      <c r="C285" s="33"/>
      <c r="D285" s="33"/>
      <c r="E285" s="17"/>
      <c r="F285" s="33"/>
      <c r="G285" s="23"/>
      <c r="H285" s="23"/>
      <c r="I285" s="23"/>
    </row>
    <row r="286" spans="2:9" x14ac:dyDescent="0.25">
      <c r="B286" s="33"/>
      <c r="C286" s="33"/>
      <c r="D286" s="33"/>
      <c r="E286" s="17"/>
      <c r="F286" s="33"/>
      <c r="G286" s="23"/>
      <c r="H286" s="23"/>
      <c r="I286" s="23"/>
    </row>
    <row r="287" spans="2:9" x14ac:dyDescent="0.25">
      <c r="B287" s="33"/>
      <c r="C287" s="33"/>
      <c r="D287" s="33"/>
      <c r="E287" s="17"/>
      <c r="F287" s="33"/>
      <c r="G287" s="23"/>
      <c r="H287" s="23"/>
      <c r="I287" s="23"/>
    </row>
    <row r="288" spans="2:9" x14ac:dyDescent="0.25">
      <c r="B288" s="33"/>
      <c r="C288" s="33"/>
      <c r="D288" s="33"/>
      <c r="E288" s="17"/>
      <c r="F288" s="33"/>
      <c r="G288" s="23"/>
      <c r="H288" s="23"/>
      <c r="I288" s="23"/>
    </row>
    <row r="289" spans="2:9" x14ac:dyDescent="0.25">
      <c r="B289" s="33"/>
      <c r="C289" s="33"/>
      <c r="D289" s="33"/>
      <c r="E289" s="17"/>
      <c r="F289" s="33"/>
      <c r="G289" s="23"/>
      <c r="H289" s="23"/>
      <c r="I289" s="23"/>
    </row>
    <row r="290" spans="2:9" x14ac:dyDescent="0.25">
      <c r="B290" s="33"/>
      <c r="C290" s="33"/>
      <c r="D290" s="33"/>
      <c r="E290" s="17"/>
      <c r="F290" s="33"/>
      <c r="G290" s="23"/>
      <c r="H290" s="23"/>
      <c r="I290" s="23"/>
    </row>
    <row r="291" spans="2:9" x14ac:dyDescent="0.25">
      <c r="B291" s="33"/>
      <c r="C291" s="33"/>
      <c r="D291" s="33"/>
      <c r="E291" s="17"/>
      <c r="F291" s="33"/>
      <c r="G291" s="23"/>
      <c r="H291" s="23"/>
      <c r="I291" s="23"/>
    </row>
    <row r="292" spans="2:9" x14ac:dyDescent="0.25">
      <c r="B292" s="33"/>
      <c r="C292" s="33"/>
      <c r="D292" s="33"/>
      <c r="E292" s="17"/>
      <c r="F292" s="33"/>
      <c r="G292" s="23"/>
      <c r="H292" s="23"/>
      <c r="I292" s="23"/>
    </row>
    <row r="293" spans="2:9" x14ac:dyDescent="0.25">
      <c r="B293" s="33"/>
      <c r="C293" s="33"/>
      <c r="D293" s="33"/>
      <c r="E293" s="17"/>
      <c r="F293" s="33"/>
      <c r="G293" s="23"/>
      <c r="H293" s="23"/>
      <c r="I293" s="23"/>
    </row>
    <row r="294" spans="2:9" x14ac:dyDescent="0.25">
      <c r="B294" s="33"/>
      <c r="C294" s="33"/>
      <c r="D294" s="33"/>
      <c r="E294" s="17"/>
      <c r="F294" s="33"/>
      <c r="G294" s="23"/>
      <c r="H294" s="23"/>
      <c r="I294" s="23"/>
    </row>
    <row r="295" spans="2:9" x14ac:dyDescent="0.25">
      <c r="B295" s="33"/>
      <c r="C295" s="33"/>
      <c r="D295" s="33"/>
      <c r="E295" s="17"/>
      <c r="F295" s="33"/>
      <c r="G295" s="23"/>
      <c r="H295" s="23"/>
      <c r="I295" s="23"/>
    </row>
    <row r="296" spans="2:9" x14ac:dyDescent="0.25">
      <c r="B296" s="33"/>
      <c r="C296" s="33"/>
      <c r="D296" s="33"/>
      <c r="E296" s="17"/>
      <c r="F296" s="33"/>
      <c r="G296" s="23"/>
      <c r="H296" s="23"/>
      <c r="I296" s="23"/>
    </row>
    <row r="297" spans="2:9" x14ac:dyDescent="0.25">
      <c r="B297" s="33"/>
      <c r="C297" s="33"/>
      <c r="D297" s="33"/>
      <c r="E297" s="17"/>
      <c r="F297" s="33"/>
      <c r="G297" s="23"/>
      <c r="H297" s="23"/>
      <c r="I297" s="23"/>
    </row>
    <row r="298" spans="2:9" x14ac:dyDescent="0.25">
      <c r="B298" s="33"/>
      <c r="C298" s="33"/>
      <c r="D298" s="33"/>
      <c r="E298" s="17"/>
      <c r="F298" s="33"/>
      <c r="G298" s="23"/>
      <c r="H298" s="23"/>
      <c r="I298" s="23"/>
    </row>
    <row r="299" spans="2:9" x14ac:dyDescent="0.25">
      <c r="B299" s="33"/>
      <c r="C299" s="33"/>
      <c r="D299" s="33"/>
      <c r="E299" s="17"/>
      <c r="F299" s="33"/>
      <c r="G299" s="23"/>
      <c r="H299" s="23"/>
      <c r="I299" s="23"/>
    </row>
    <row r="300" spans="2:9" x14ac:dyDescent="0.25">
      <c r="B300" s="33"/>
      <c r="C300" s="33"/>
      <c r="D300" s="33"/>
      <c r="E300" s="17"/>
      <c r="F300" s="33"/>
      <c r="G300" s="23"/>
      <c r="H300" s="23"/>
      <c r="I300" s="23"/>
    </row>
    <row r="301" spans="2:9" x14ac:dyDescent="0.25">
      <c r="B301" s="33"/>
      <c r="C301" s="33"/>
      <c r="D301" s="33"/>
      <c r="E301" s="17"/>
      <c r="F301" s="33"/>
      <c r="G301" s="23"/>
      <c r="H301" s="23"/>
      <c r="I301" s="23"/>
    </row>
    <row r="302" spans="2:9" x14ac:dyDescent="0.25">
      <c r="B302" s="33"/>
      <c r="C302" s="33"/>
      <c r="D302" s="33"/>
      <c r="E302" s="17"/>
      <c r="F302" s="33"/>
      <c r="G302" s="23"/>
      <c r="H302" s="23"/>
      <c r="I302" s="23"/>
    </row>
    <row r="303" spans="2:9" x14ac:dyDescent="0.25">
      <c r="B303" s="33"/>
      <c r="C303" s="33"/>
      <c r="D303" s="33"/>
      <c r="E303" s="17"/>
      <c r="F303" s="33"/>
      <c r="G303" s="23"/>
      <c r="H303" s="23"/>
      <c r="I303" s="23"/>
    </row>
    <row r="304" spans="2:9" x14ac:dyDescent="0.25">
      <c r="B304" s="33"/>
      <c r="C304" s="33"/>
      <c r="D304" s="33"/>
      <c r="E304" s="17"/>
      <c r="F304" s="33"/>
      <c r="G304" s="23"/>
      <c r="H304" s="23"/>
      <c r="I304" s="23"/>
    </row>
    <row r="305" spans="2:9" x14ac:dyDescent="0.25">
      <c r="B305" s="33"/>
      <c r="C305" s="33"/>
      <c r="D305" s="33"/>
      <c r="E305" s="17"/>
      <c r="F305" s="33"/>
      <c r="G305" s="23"/>
      <c r="H305" s="23"/>
      <c r="I305" s="23"/>
    </row>
    <row r="306" spans="2:9" x14ac:dyDescent="0.25">
      <c r="B306" s="33"/>
      <c r="C306" s="33"/>
      <c r="D306" s="33"/>
      <c r="E306" s="17"/>
      <c r="F306" s="33"/>
      <c r="G306" s="23"/>
      <c r="H306" s="23"/>
      <c r="I306" s="23"/>
    </row>
    <row r="307" spans="2:9" x14ac:dyDescent="0.25">
      <c r="B307" s="33"/>
      <c r="C307" s="33"/>
      <c r="D307" s="33"/>
      <c r="E307" s="17"/>
      <c r="F307" s="33"/>
      <c r="G307" s="23"/>
      <c r="H307" s="23"/>
      <c r="I307" s="23"/>
    </row>
    <row r="308" spans="2:9" x14ac:dyDescent="0.25">
      <c r="B308" s="33"/>
      <c r="C308" s="33"/>
      <c r="D308" s="33"/>
      <c r="E308" s="17"/>
      <c r="F308" s="33"/>
      <c r="G308" s="23"/>
      <c r="H308" s="23"/>
      <c r="I308" s="23"/>
    </row>
    <row r="309" spans="2:9" x14ac:dyDescent="0.25">
      <c r="B309" s="33"/>
      <c r="C309" s="33"/>
      <c r="D309" s="33"/>
      <c r="E309" s="17"/>
      <c r="F309" s="33"/>
      <c r="G309" s="23"/>
      <c r="H309" s="23"/>
      <c r="I309" s="23"/>
    </row>
    <row r="310" spans="2:9" x14ac:dyDescent="0.25">
      <c r="B310" s="33"/>
      <c r="C310" s="33"/>
      <c r="D310" s="33"/>
      <c r="E310" s="17"/>
      <c r="F310" s="33"/>
      <c r="G310" s="23"/>
      <c r="H310" s="23"/>
      <c r="I310" s="23"/>
    </row>
    <row r="311" spans="2:9" x14ac:dyDescent="0.25">
      <c r="B311" s="33"/>
      <c r="C311" s="33"/>
      <c r="D311" s="33"/>
      <c r="E311" s="17"/>
      <c r="F311" s="33"/>
      <c r="G311" s="23"/>
      <c r="H311" s="23"/>
      <c r="I311" s="23"/>
    </row>
    <row r="312" spans="2:9" x14ac:dyDescent="0.25">
      <c r="B312" s="33"/>
      <c r="C312" s="33"/>
      <c r="D312" s="33"/>
      <c r="E312" s="17"/>
      <c r="F312" s="33"/>
      <c r="G312" s="23"/>
      <c r="H312" s="23"/>
      <c r="I312" s="23"/>
    </row>
    <row r="313" spans="2:9" x14ac:dyDescent="0.25">
      <c r="B313" s="33"/>
      <c r="C313" s="33"/>
      <c r="D313" s="33"/>
      <c r="E313" s="17"/>
      <c r="F313" s="33"/>
      <c r="G313" s="23"/>
      <c r="H313" s="23"/>
      <c r="I313" s="23"/>
    </row>
    <row r="314" spans="2:9" x14ac:dyDescent="0.25">
      <c r="B314" s="33"/>
      <c r="C314" s="33"/>
      <c r="D314" s="33"/>
      <c r="E314" s="17"/>
      <c r="F314" s="33"/>
      <c r="G314" s="23"/>
      <c r="H314" s="23"/>
      <c r="I314" s="23"/>
    </row>
    <row r="315" spans="2:9" x14ac:dyDescent="0.25">
      <c r="B315" s="33"/>
      <c r="C315" s="33"/>
      <c r="D315" s="33"/>
      <c r="E315" s="17"/>
      <c r="F315" s="33"/>
      <c r="G315" s="23"/>
      <c r="H315" s="23"/>
      <c r="I315" s="23"/>
    </row>
    <row r="316" spans="2:9" x14ac:dyDescent="0.25">
      <c r="B316" s="33"/>
      <c r="C316" s="33"/>
      <c r="D316" s="33"/>
      <c r="E316" s="17"/>
      <c r="F316" s="33"/>
      <c r="G316" s="23"/>
      <c r="H316" s="23"/>
      <c r="I316" s="23"/>
    </row>
    <row r="317" spans="2:9" x14ac:dyDescent="0.25">
      <c r="B317" s="33"/>
      <c r="C317" s="33"/>
      <c r="D317" s="33"/>
      <c r="E317" s="17"/>
      <c r="F317" s="33"/>
      <c r="G317" s="23"/>
      <c r="H317" s="23"/>
      <c r="I317" s="23"/>
    </row>
    <row r="318" spans="2:9" x14ac:dyDescent="0.25">
      <c r="B318" s="33"/>
      <c r="C318" s="33"/>
      <c r="D318" s="33"/>
      <c r="E318" s="17"/>
      <c r="F318" s="33"/>
      <c r="G318" s="23"/>
      <c r="H318" s="23"/>
      <c r="I318" s="23"/>
    </row>
    <row r="319" spans="2:9" x14ac:dyDescent="0.25">
      <c r="B319" s="33"/>
      <c r="C319" s="33"/>
      <c r="D319" s="33"/>
      <c r="E319" s="17"/>
      <c r="F319" s="33"/>
      <c r="G319" s="23"/>
      <c r="H319" s="23"/>
      <c r="I319" s="23"/>
    </row>
    <row r="320" spans="2:9" x14ac:dyDescent="0.25">
      <c r="B320" s="33"/>
      <c r="C320" s="33"/>
      <c r="D320" s="33"/>
      <c r="E320" s="17"/>
      <c r="F320" s="33"/>
      <c r="G320" s="23"/>
      <c r="H320" s="23"/>
      <c r="I320" s="23"/>
    </row>
    <row r="321" spans="2:9" x14ac:dyDescent="0.25">
      <c r="B321" s="33"/>
      <c r="C321" s="33"/>
      <c r="D321" s="33"/>
      <c r="E321" s="17"/>
      <c r="F321" s="33"/>
      <c r="G321" s="23"/>
      <c r="H321" s="23"/>
      <c r="I321" s="23"/>
    </row>
    <row r="322" spans="2:9" x14ac:dyDescent="0.25">
      <c r="B322" s="33"/>
      <c r="C322" s="33"/>
      <c r="D322" s="33"/>
      <c r="E322" s="17"/>
      <c r="F322" s="33"/>
      <c r="G322" s="23"/>
      <c r="H322" s="23"/>
      <c r="I322" s="23"/>
    </row>
    <row r="323" spans="2:9" x14ac:dyDescent="0.25">
      <c r="B323" s="33"/>
      <c r="C323" s="33"/>
      <c r="D323" s="33"/>
      <c r="E323" s="17"/>
      <c r="F323" s="33"/>
      <c r="G323" s="23"/>
      <c r="H323" s="23"/>
      <c r="I323" s="23"/>
    </row>
    <row r="324" spans="2:9" x14ac:dyDescent="0.25">
      <c r="B324" s="33"/>
      <c r="C324" s="33"/>
      <c r="D324" s="33"/>
      <c r="E324" s="17"/>
      <c r="F324" s="33"/>
      <c r="G324" s="23"/>
      <c r="H324" s="23"/>
      <c r="I324" s="23"/>
    </row>
    <row r="325" spans="2:9" x14ac:dyDescent="0.25">
      <c r="B325" s="33"/>
      <c r="C325" s="33"/>
      <c r="D325" s="33"/>
      <c r="E325" s="17"/>
      <c r="F325" s="33"/>
      <c r="G325" s="23"/>
      <c r="H325" s="23"/>
      <c r="I325" s="23"/>
    </row>
    <row r="326" spans="2:9" x14ac:dyDescent="0.25">
      <c r="B326" s="33"/>
      <c r="C326" s="33"/>
      <c r="D326" s="33"/>
      <c r="E326" s="17"/>
      <c r="F326" s="33"/>
      <c r="G326" s="23"/>
      <c r="H326" s="23"/>
      <c r="I326" s="23"/>
    </row>
    <row r="327" spans="2:9" x14ac:dyDescent="0.25">
      <c r="B327" s="33"/>
      <c r="C327" s="33"/>
      <c r="D327" s="33"/>
      <c r="E327" s="17"/>
      <c r="F327" s="33"/>
      <c r="G327" s="23"/>
      <c r="H327" s="23"/>
      <c r="I327" s="23"/>
    </row>
    <row r="328" spans="2:9" x14ac:dyDescent="0.25">
      <c r="B328" s="33"/>
      <c r="C328" s="33"/>
      <c r="D328" s="33"/>
      <c r="E328" s="17"/>
      <c r="F328" s="33"/>
      <c r="G328" s="23"/>
      <c r="H328" s="23"/>
      <c r="I328" s="23"/>
    </row>
    <row r="329" spans="2:9" x14ac:dyDescent="0.25">
      <c r="B329" s="33"/>
      <c r="C329" s="33"/>
      <c r="D329" s="33"/>
      <c r="E329" s="17"/>
      <c r="F329" s="33"/>
      <c r="G329" s="23"/>
      <c r="H329" s="23"/>
      <c r="I329" s="23"/>
    </row>
    <row r="330" spans="2:9" x14ac:dyDescent="0.25">
      <c r="B330" s="33"/>
      <c r="C330" s="33"/>
      <c r="D330" s="33"/>
      <c r="E330" s="17"/>
      <c r="F330" s="33"/>
      <c r="G330" s="23"/>
      <c r="H330" s="23"/>
      <c r="I330" s="23"/>
    </row>
    <row r="331" spans="2:9" x14ac:dyDescent="0.25">
      <c r="B331" s="33"/>
      <c r="C331" s="33"/>
      <c r="D331" s="33"/>
      <c r="E331" s="17"/>
      <c r="F331" s="33"/>
      <c r="G331" s="23"/>
      <c r="H331" s="23"/>
      <c r="I331" s="23"/>
    </row>
    <row r="332" spans="2:9" x14ac:dyDescent="0.25">
      <c r="B332" s="33"/>
      <c r="C332" s="33"/>
      <c r="D332" s="33"/>
      <c r="E332" s="17"/>
      <c r="F332" s="33"/>
      <c r="G332" s="23"/>
      <c r="H332" s="23"/>
      <c r="I332" s="23"/>
    </row>
    <row r="333" spans="2:9" x14ac:dyDescent="0.25">
      <c r="B333" s="33"/>
      <c r="C333" s="33"/>
      <c r="D333" s="33"/>
      <c r="E333" s="17"/>
      <c r="F333" s="33"/>
      <c r="G333" s="23"/>
      <c r="H333" s="23"/>
      <c r="I333" s="23"/>
    </row>
    <row r="334" spans="2:9" x14ac:dyDescent="0.25">
      <c r="B334" s="33"/>
      <c r="C334" s="33"/>
      <c r="D334" s="33"/>
      <c r="E334" s="17"/>
      <c r="F334" s="33"/>
      <c r="G334" s="23"/>
      <c r="H334" s="23"/>
      <c r="I334" s="23"/>
    </row>
    <row r="335" spans="2:9" x14ac:dyDescent="0.25">
      <c r="B335" s="33"/>
      <c r="C335" s="33"/>
      <c r="D335" s="33"/>
      <c r="E335" s="17"/>
      <c r="F335" s="33"/>
      <c r="G335" s="23"/>
      <c r="H335" s="23"/>
      <c r="I335" s="23"/>
    </row>
    <row r="336" spans="2:9" x14ac:dyDescent="0.25">
      <c r="B336" s="33"/>
      <c r="C336" s="33"/>
      <c r="D336" s="33"/>
      <c r="E336" s="17"/>
      <c r="F336" s="33"/>
      <c r="G336" s="23"/>
      <c r="H336" s="23"/>
      <c r="I336" s="23"/>
    </row>
    <row r="337" spans="2:9" x14ac:dyDescent="0.25">
      <c r="B337" s="33"/>
      <c r="C337" s="33"/>
      <c r="D337" s="33"/>
      <c r="E337" s="17"/>
      <c r="F337" s="33"/>
      <c r="G337" s="23"/>
      <c r="H337" s="23"/>
      <c r="I337" s="23"/>
    </row>
    <row r="338" spans="2:9" x14ac:dyDescent="0.25">
      <c r="B338" s="33"/>
      <c r="C338" s="33"/>
      <c r="D338" s="33"/>
      <c r="E338" s="17"/>
      <c r="F338" s="33"/>
      <c r="G338" s="23"/>
      <c r="H338" s="23"/>
      <c r="I338" s="23"/>
    </row>
    <row r="339" spans="2:9" x14ac:dyDescent="0.25">
      <c r="B339" s="33"/>
      <c r="C339" s="33"/>
      <c r="D339" s="33"/>
      <c r="E339" s="17"/>
      <c r="F339" s="33"/>
      <c r="G339" s="23"/>
      <c r="H339" s="23"/>
      <c r="I339" s="23"/>
    </row>
    <row r="340" spans="2:9" x14ac:dyDescent="0.25">
      <c r="B340" s="33"/>
      <c r="C340" s="33"/>
      <c r="D340" s="33"/>
      <c r="E340" s="17"/>
      <c r="F340" s="33"/>
      <c r="G340" s="23"/>
      <c r="H340" s="23"/>
      <c r="I340" s="23"/>
    </row>
    <row r="341" spans="2:9" x14ac:dyDescent="0.25">
      <c r="B341" s="33"/>
      <c r="C341" s="33"/>
      <c r="D341" s="33"/>
      <c r="E341" s="17"/>
      <c r="F341" s="33"/>
      <c r="G341" s="23"/>
      <c r="H341" s="23"/>
      <c r="I341" s="23"/>
    </row>
    <row r="342" spans="2:9" x14ac:dyDescent="0.25">
      <c r="B342" s="33"/>
      <c r="C342" s="33"/>
      <c r="D342" s="33"/>
      <c r="E342" s="17"/>
      <c r="F342" s="33"/>
      <c r="G342" s="23"/>
      <c r="H342" s="23"/>
      <c r="I342" s="23"/>
    </row>
    <row r="343" spans="2:9" x14ac:dyDescent="0.25">
      <c r="B343" s="33"/>
      <c r="C343" s="33"/>
      <c r="D343" s="33"/>
      <c r="E343" s="17"/>
      <c r="F343" s="33"/>
      <c r="G343" s="23"/>
      <c r="H343" s="23"/>
      <c r="I343" s="23"/>
    </row>
    <row r="344" spans="2:9" x14ac:dyDescent="0.25">
      <c r="B344" s="33"/>
      <c r="C344" s="33"/>
      <c r="D344" s="33"/>
      <c r="E344" s="17"/>
      <c r="F344" s="33"/>
      <c r="G344" s="23"/>
      <c r="H344" s="23"/>
      <c r="I344" s="23"/>
    </row>
    <row r="345" spans="2:9" x14ac:dyDescent="0.25">
      <c r="B345" s="33"/>
      <c r="C345" s="33"/>
      <c r="D345" s="33"/>
      <c r="E345" s="17"/>
      <c r="F345" s="33"/>
      <c r="G345" s="23"/>
      <c r="H345" s="23"/>
      <c r="I345" s="23"/>
    </row>
    <row r="346" spans="2:9" x14ac:dyDescent="0.25">
      <c r="B346" s="33"/>
      <c r="C346" s="33"/>
      <c r="D346" s="33"/>
      <c r="E346" s="17"/>
      <c r="F346" s="33"/>
      <c r="G346" s="23"/>
      <c r="H346" s="23"/>
      <c r="I346" s="23"/>
    </row>
    <row r="347" spans="2:9" x14ac:dyDescent="0.25">
      <c r="B347" s="33"/>
      <c r="C347" s="33"/>
      <c r="D347" s="33"/>
      <c r="E347" s="17"/>
      <c r="F347" s="33"/>
      <c r="G347" s="23"/>
      <c r="H347" s="23"/>
      <c r="I347" s="23"/>
    </row>
    <row r="348" spans="2:9" x14ac:dyDescent="0.25">
      <c r="B348" s="33"/>
      <c r="C348" s="33"/>
      <c r="D348" s="33"/>
      <c r="E348" s="17"/>
      <c r="F348" s="33"/>
      <c r="G348" s="23"/>
      <c r="H348" s="23"/>
      <c r="I348" s="23"/>
    </row>
    <row r="349" spans="2:9" x14ac:dyDescent="0.25">
      <c r="B349" s="33"/>
      <c r="C349" s="33"/>
      <c r="D349" s="33"/>
      <c r="E349" s="17"/>
      <c r="F349" s="33"/>
      <c r="G349" s="23"/>
      <c r="H349" s="23"/>
      <c r="I349" s="23"/>
    </row>
    <row r="350" spans="2:9" x14ac:dyDescent="0.25">
      <c r="B350" s="33"/>
      <c r="C350" s="33"/>
      <c r="D350" s="33"/>
      <c r="E350" s="17"/>
      <c r="F350" s="33"/>
      <c r="G350" s="23"/>
      <c r="H350" s="23"/>
      <c r="I350" s="23"/>
    </row>
    <row r="351" spans="2:9" x14ac:dyDescent="0.25">
      <c r="B351" s="33"/>
      <c r="C351" s="33"/>
      <c r="D351" s="33"/>
      <c r="E351" s="17"/>
      <c r="F351" s="33"/>
      <c r="G351" s="23"/>
      <c r="H351" s="23"/>
      <c r="I351" s="23"/>
    </row>
    <row r="352" spans="2:9" x14ac:dyDescent="0.25">
      <c r="B352" s="33"/>
      <c r="C352" s="33"/>
      <c r="D352" s="33"/>
      <c r="E352" s="17"/>
      <c r="F352" s="33"/>
      <c r="G352" s="23"/>
      <c r="H352" s="23"/>
      <c r="I352" s="23"/>
    </row>
    <row r="353" spans="2:9" x14ac:dyDescent="0.25">
      <c r="B353" s="33"/>
      <c r="C353" s="33"/>
      <c r="D353" s="33"/>
      <c r="E353" s="17"/>
      <c r="F353" s="33"/>
      <c r="G353" s="23"/>
      <c r="H353" s="23"/>
      <c r="I353" s="23"/>
    </row>
    <row r="354" spans="2:9" x14ac:dyDescent="0.25">
      <c r="B354" s="33"/>
      <c r="C354" s="33"/>
      <c r="D354" s="33"/>
      <c r="E354" s="17"/>
      <c r="F354" s="33"/>
      <c r="G354" s="23"/>
      <c r="H354" s="23"/>
      <c r="I354" s="23"/>
    </row>
    <row r="355" spans="2:9" x14ac:dyDescent="0.25">
      <c r="B355" s="33"/>
      <c r="C355" s="33"/>
      <c r="D355" s="33"/>
      <c r="E355" s="17"/>
      <c r="F355" s="33"/>
      <c r="G355" s="23"/>
      <c r="H355" s="23"/>
      <c r="I355" s="23"/>
    </row>
    <row r="356" spans="2:9" x14ac:dyDescent="0.25">
      <c r="B356" s="33"/>
      <c r="C356" s="33"/>
      <c r="D356" s="33"/>
      <c r="E356" s="17"/>
      <c r="F356" s="33"/>
      <c r="G356" s="23"/>
      <c r="H356" s="23"/>
      <c r="I356" s="23"/>
    </row>
    <row r="357" spans="2:9" x14ac:dyDescent="0.25">
      <c r="B357" s="33"/>
      <c r="C357" s="33"/>
      <c r="D357" s="33"/>
      <c r="E357" s="17"/>
      <c r="F357" s="33"/>
      <c r="G357" s="23"/>
      <c r="H357" s="23"/>
      <c r="I357" s="23"/>
    </row>
    <row r="358" spans="2:9" x14ac:dyDescent="0.25">
      <c r="B358" s="33"/>
      <c r="C358" s="33"/>
      <c r="D358" s="33"/>
      <c r="E358" s="17"/>
      <c r="F358" s="33"/>
      <c r="G358" s="23"/>
      <c r="H358" s="23"/>
      <c r="I358" s="23"/>
    </row>
    <row r="359" spans="2:9" x14ac:dyDescent="0.25">
      <c r="B359" s="33"/>
      <c r="C359" s="33"/>
      <c r="D359" s="33"/>
      <c r="E359" s="17"/>
      <c r="F359" s="33"/>
      <c r="G359" s="23"/>
      <c r="H359" s="23"/>
      <c r="I359" s="23"/>
    </row>
    <row r="360" spans="2:9" x14ac:dyDescent="0.25">
      <c r="B360" s="33"/>
      <c r="C360" s="33"/>
      <c r="D360" s="33"/>
      <c r="E360" s="17"/>
      <c r="F360" s="33"/>
      <c r="G360" s="23"/>
      <c r="H360" s="23"/>
      <c r="I360" s="23"/>
    </row>
    <row r="361" spans="2:9" x14ac:dyDescent="0.25">
      <c r="B361" s="33"/>
      <c r="C361" s="33"/>
      <c r="D361" s="33"/>
      <c r="E361" s="17"/>
      <c r="F361" s="33"/>
      <c r="G361" s="23"/>
      <c r="H361" s="23"/>
      <c r="I361" s="23"/>
    </row>
    <row r="362" spans="2:9" x14ac:dyDescent="0.25">
      <c r="B362" s="33"/>
      <c r="C362" s="33"/>
      <c r="D362" s="33"/>
      <c r="E362" s="17"/>
      <c r="F362" s="33"/>
      <c r="G362" s="23"/>
      <c r="H362" s="23"/>
      <c r="I362" s="23"/>
    </row>
    <row r="363" spans="2:9" x14ac:dyDescent="0.25">
      <c r="B363" s="33"/>
      <c r="C363" s="33"/>
      <c r="D363" s="33"/>
      <c r="E363" s="17"/>
      <c r="F363" s="33"/>
      <c r="G363" s="23"/>
      <c r="H363" s="23"/>
      <c r="I363" s="23"/>
    </row>
    <row r="364" spans="2:9" x14ac:dyDescent="0.25">
      <c r="B364" s="33"/>
      <c r="C364" s="33"/>
      <c r="D364" s="33"/>
      <c r="E364" s="17"/>
      <c r="F364" s="33"/>
      <c r="G364" s="23"/>
      <c r="H364" s="23"/>
      <c r="I364" s="23"/>
    </row>
    <row r="365" spans="2:9" x14ac:dyDescent="0.25">
      <c r="B365" s="33"/>
      <c r="C365" s="33"/>
      <c r="D365" s="33"/>
      <c r="E365" s="17"/>
      <c r="F365" s="33"/>
      <c r="G365" s="23"/>
      <c r="H365" s="23"/>
      <c r="I365" s="23"/>
    </row>
    <row r="366" spans="2:9" x14ac:dyDescent="0.25">
      <c r="B366" s="33"/>
      <c r="C366" s="33"/>
      <c r="D366" s="33"/>
      <c r="E366" s="17"/>
      <c r="F366" s="33"/>
      <c r="G366" s="23"/>
      <c r="H366" s="23"/>
      <c r="I366" s="23"/>
    </row>
    <row r="367" spans="2:9" x14ac:dyDescent="0.25">
      <c r="B367" s="33"/>
      <c r="C367" s="33"/>
      <c r="D367" s="33"/>
      <c r="E367" s="17"/>
      <c r="F367" s="33"/>
      <c r="G367" s="23"/>
      <c r="H367" s="23"/>
      <c r="I367" s="23"/>
    </row>
    <row r="368" spans="2:9" x14ac:dyDescent="0.25">
      <c r="B368" s="33"/>
      <c r="C368" s="33"/>
      <c r="D368" s="33"/>
      <c r="E368" s="17"/>
      <c r="F368" s="33"/>
      <c r="G368" s="23"/>
      <c r="H368" s="23"/>
      <c r="I368" s="23"/>
    </row>
    <row r="369" spans="2:9" x14ac:dyDescent="0.25">
      <c r="B369" s="33"/>
      <c r="C369" s="33"/>
      <c r="D369" s="33"/>
      <c r="E369" s="17"/>
      <c r="F369" s="33"/>
      <c r="G369" s="23"/>
      <c r="H369" s="23"/>
      <c r="I369" s="23"/>
    </row>
    <row r="370" spans="2:9" x14ac:dyDescent="0.25">
      <c r="B370" s="33"/>
      <c r="C370" s="33"/>
      <c r="D370" s="33"/>
      <c r="E370" s="17"/>
      <c r="F370" s="33"/>
      <c r="G370" s="23"/>
      <c r="H370" s="23"/>
      <c r="I370" s="23"/>
    </row>
    <row r="371" spans="2:9" x14ac:dyDescent="0.25">
      <c r="B371" s="33"/>
      <c r="C371" s="33"/>
      <c r="D371" s="33"/>
      <c r="E371" s="17"/>
      <c r="F371" s="33"/>
      <c r="G371" s="23"/>
      <c r="H371" s="23"/>
      <c r="I371" s="23"/>
    </row>
    <row r="372" spans="2:9" x14ac:dyDescent="0.25">
      <c r="B372" s="33"/>
      <c r="C372" s="33"/>
      <c r="D372" s="33"/>
      <c r="E372" s="17"/>
      <c r="F372" s="33"/>
      <c r="G372" s="23"/>
      <c r="H372" s="23"/>
      <c r="I372" s="23"/>
    </row>
    <row r="373" spans="2:9" x14ac:dyDescent="0.25">
      <c r="B373" s="33"/>
      <c r="C373" s="33"/>
      <c r="D373" s="33"/>
      <c r="E373" s="17"/>
      <c r="F373" s="33"/>
      <c r="G373" s="23"/>
      <c r="H373" s="23"/>
      <c r="I373" s="23"/>
    </row>
    <row r="374" spans="2:9" x14ac:dyDescent="0.25">
      <c r="B374" s="33"/>
      <c r="C374" s="33"/>
      <c r="D374" s="33"/>
      <c r="E374" s="17"/>
      <c r="F374" s="33"/>
      <c r="G374" s="23"/>
      <c r="H374" s="23"/>
      <c r="I374" s="23"/>
    </row>
    <row r="375" spans="2:9" x14ac:dyDescent="0.25">
      <c r="B375" s="33"/>
      <c r="C375" s="33"/>
      <c r="D375" s="33"/>
      <c r="E375" s="17"/>
      <c r="F375" s="33"/>
      <c r="G375" s="23"/>
      <c r="H375" s="23"/>
      <c r="I375" s="23"/>
    </row>
    <row r="376" spans="2:9" x14ac:dyDescent="0.25">
      <c r="B376" s="33"/>
      <c r="C376" s="33"/>
      <c r="D376" s="33"/>
      <c r="E376" s="17"/>
      <c r="F376" s="33"/>
      <c r="G376" s="23"/>
      <c r="H376" s="23"/>
      <c r="I376" s="23"/>
    </row>
    <row r="377" spans="2:9" x14ac:dyDescent="0.25">
      <c r="B377" s="33"/>
      <c r="C377" s="33"/>
      <c r="D377" s="33"/>
      <c r="E377" s="17"/>
      <c r="F377" s="33"/>
      <c r="G377" s="23"/>
      <c r="H377" s="23"/>
      <c r="I377" s="23"/>
    </row>
    <row r="378" spans="2:9" x14ac:dyDescent="0.25">
      <c r="B378" s="33"/>
      <c r="C378" s="33"/>
      <c r="D378" s="33"/>
      <c r="E378" s="17"/>
      <c r="F378" s="33"/>
      <c r="G378" s="23"/>
      <c r="H378" s="23"/>
      <c r="I378" s="23"/>
    </row>
    <row r="379" spans="2:9" x14ac:dyDescent="0.25">
      <c r="B379" s="33"/>
      <c r="C379" s="33"/>
      <c r="D379" s="33"/>
      <c r="E379" s="17"/>
      <c r="F379" s="33"/>
      <c r="G379" s="23"/>
      <c r="H379" s="23"/>
      <c r="I379" s="23"/>
    </row>
    <row r="380" spans="2:9" x14ac:dyDescent="0.25">
      <c r="B380" s="33"/>
      <c r="C380" s="33"/>
      <c r="D380" s="33"/>
      <c r="E380" s="17"/>
      <c r="F380" s="33"/>
      <c r="G380" s="23"/>
      <c r="H380" s="23"/>
      <c r="I380" s="23"/>
    </row>
    <row r="381" spans="2:9" x14ac:dyDescent="0.25">
      <c r="B381" s="33"/>
      <c r="C381" s="33"/>
      <c r="D381" s="33"/>
      <c r="E381" s="17"/>
      <c r="F381" s="33"/>
      <c r="G381" s="23"/>
      <c r="H381" s="23"/>
      <c r="I381" s="23"/>
    </row>
    <row r="382" spans="2:9" x14ac:dyDescent="0.25">
      <c r="B382" s="33"/>
      <c r="C382" s="33"/>
      <c r="D382" s="33"/>
      <c r="E382" s="17"/>
      <c r="F382" s="33"/>
      <c r="G382" s="23"/>
      <c r="H382" s="23"/>
      <c r="I382" s="23"/>
    </row>
    <row r="383" spans="2:9" x14ac:dyDescent="0.25">
      <c r="B383" s="33"/>
      <c r="C383" s="33"/>
      <c r="D383" s="33"/>
      <c r="E383" s="17"/>
      <c r="F383" s="33"/>
      <c r="G383" s="23"/>
      <c r="H383" s="23"/>
      <c r="I383" s="23"/>
    </row>
    <row r="384" spans="2:9" x14ac:dyDescent="0.25">
      <c r="B384" s="33"/>
      <c r="C384" s="33"/>
      <c r="D384" s="33"/>
      <c r="E384" s="17"/>
      <c r="F384" s="33"/>
      <c r="G384" s="23"/>
      <c r="H384" s="23"/>
      <c r="I384" s="23"/>
    </row>
    <row r="385" spans="2:9" x14ac:dyDescent="0.25">
      <c r="B385" s="33"/>
      <c r="C385" s="33"/>
      <c r="D385" s="33"/>
      <c r="E385" s="17"/>
      <c r="F385" s="33"/>
      <c r="G385" s="23"/>
      <c r="H385" s="23"/>
      <c r="I385" s="23"/>
    </row>
    <row r="386" spans="2:9" x14ac:dyDescent="0.25">
      <c r="B386" s="33"/>
      <c r="C386" s="33"/>
      <c r="D386" s="33"/>
      <c r="E386" s="17"/>
      <c r="F386" s="33"/>
      <c r="G386" s="23"/>
      <c r="H386" s="23"/>
      <c r="I386" s="23"/>
    </row>
    <row r="387" spans="2:9" x14ac:dyDescent="0.25">
      <c r="B387" s="33"/>
      <c r="C387" s="33"/>
      <c r="D387" s="33"/>
      <c r="E387" s="17"/>
      <c r="F387" s="33"/>
      <c r="G387" s="23"/>
      <c r="H387" s="23"/>
      <c r="I387" s="23"/>
    </row>
    <row r="388" spans="2:9" x14ac:dyDescent="0.25">
      <c r="B388" s="33"/>
      <c r="C388" s="33"/>
      <c r="D388" s="33"/>
      <c r="E388" s="17"/>
      <c r="F388" s="33"/>
      <c r="G388" s="23"/>
      <c r="H388" s="23"/>
      <c r="I388" s="23"/>
    </row>
    <row r="389" spans="2:9" x14ac:dyDescent="0.25">
      <c r="B389" s="33"/>
      <c r="C389" s="33"/>
      <c r="D389" s="33"/>
      <c r="E389" s="17"/>
      <c r="F389" s="33"/>
      <c r="G389" s="23"/>
      <c r="H389" s="23"/>
      <c r="I389" s="23"/>
    </row>
    <row r="390" spans="2:9" x14ac:dyDescent="0.25">
      <c r="B390" s="33"/>
      <c r="C390" s="33"/>
      <c r="D390" s="33"/>
      <c r="E390" s="17"/>
      <c r="F390" s="33"/>
      <c r="G390" s="23"/>
      <c r="H390" s="23"/>
      <c r="I390" s="23"/>
    </row>
    <row r="391" spans="2:9" x14ac:dyDescent="0.25">
      <c r="B391" s="33"/>
      <c r="C391" s="33"/>
      <c r="D391" s="33"/>
      <c r="E391" s="17"/>
      <c r="F391" s="33"/>
      <c r="G391" s="23"/>
      <c r="H391" s="23"/>
      <c r="I391" s="23"/>
    </row>
    <row r="392" spans="2:9" x14ac:dyDescent="0.25">
      <c r="B392" s="33"/>
      <c r="C392" s="33"/>
      <c r="D392" s="33"/>
      <c r="E392" s="17"/>
      <c r="F392" s="33"/>
      <c r="G392" s="23"/>
      <c r="H392" s="23"/>
      <c r="I392" s="23"/>
    </row>
    <row r="393" spans="2:9" x14ac:dyDescent="0.25">
      <c r="B393" s="33"/>
      <c r="C393" s="33"/>
      <c r="D393" s="33"/>
      <c r="E393" s="17"/>
      <c r="F393" s="33"/>
      <c r="G393" s="23"/>
      <c r="H393" s="23"/>
      <c r="I393" s="23"/>
    </row>
    <row r="394" spans="2:9" x14ac:dyDescent="0.25">
      <c r="B394" s="33"/>
      <c r="C394" s="33"/>
      <c r="D394" s="33"/>
      <c r="E394" s="17"/>
      <c r="F394" s="33"/>
      <c r="G394" s="23"/>
      <c r="H394" s="23"/>
      <c r="I394" s="23"/>
    </row>
    <row r="395" spans="2:9" x14ac:dyDescent="0.25">
      <c r="B395" s="33"/>
      <c r="C395" s="33"/>
      <c r="D395" s="33"/>
      <c r="E395" s="17"/>
      <c r="F395" s="33"/>
      <c r="G395" s="23"/>
      <c r="H395" s="23"/>
      <c r="I395" s="23"/>
    </row>
    <row r="396" spans="2:9" x14ac:dyDescent="0.25">
      <c r="B396" s="33"/>
      <c r="C396" s="33"/>
      <c r="D396" s="33"/>
      <c r="E396" s="17"/>
      <c r="F396" s="33"/>
      <c r="G396" s="23"/>
      <c r="H396" s="23"/>
      <c r="I396" s="23"/>
    </row>
    <row r="397" spans="2:9" x14ac:dyDescent="0.25">
      <c r="B397" s="33"/>
      <c r="C397" s="33"/>
      <c r="D397" s="33"/>
      <c r="E397" s="17"/>
      <c r="F397" s="33"/>
      <c r="G397" s="23"/>
      <c r="H397" s="23"/>
      <c r="I397" s="23"/>
    </row>
    <row r="398" spans="2:9" x14ac:dyDescent="0.25">
      <c r="B398" s="33"/>
      <c r="C398" s="33"/>
      <c r="D398" s="33"/>
      <c r="E398" s="17"/>
      <c r="F398" s="33"/>
      <c r="G398" s="23"/>
      <c r="H398" s="23"/>
      <c r="I398" s="23"/>
    </row>
    <row r="399" spans="2:9" x14ac:dyDescent="0.25">
      <c r="B399" s="33"/>
      <c r="C399" s="33"/>
      <c r="D399" s="33"/>
      <c r="E399" s="17"/>
      <c r="F399" s="33"/>
      <c r="G399" s="23"/>
      <c r="H399" s="23"/>
      <c r="I399" s="23"/>
    </row>
    <row r="400" spans="2:9" x14ac:dyDescent="0.25">
      <c r="B400" s="33"/>
      <c r="C400" s="33"/>
      <c r="D400" s="33"/>
      <c r="E400" s="17"/>
      <c r="F400" s="33"/>
      <c r="G400" s="23"/>
      <c r="H400" s="23"/>
      <c r="I400" s="23"/>
    </row>
    <row r="401" spans="2:9" x14ac:dyDescent="0.25">
      <c r="B401" s="33"/>
      <c r="C401" s="33"/>
      <c r="D401" s="33"/>
      <c r="E401" s="17"/>
      <c r="F401" s="33"/>
      <c r="G401" s="23"/>
      <c r="H401" s="23"/>
      <c r="I401" s="23"/>
    </row>
    <row r="402" spans="2:9" x14ac:dyDescent="0.25">
      <c r="B402" s="33"/>
      <c r="C402" s="33"/>
      <c r="D402" s="33"/>
      <c r="E402" s="17"/>
      <c r="F402" s="33"/>
      <c r="G402" s="23"/>
      <c r="H402" s="23"/>
      <c r="I402" s="23"/>
    </row>
    <row r="403" spans="2:9" x14ac:dyDescent="0.25">
      <c r="B403" s="33"/>
      <c r="C403" s="33"/>
      <c r="D403" s="33"/>
      <c r="E403" s="17"/>
      <c r="F403" s="33"/>
      <c r="G403" s="23"/>
      <c r="H403" s="23"/>
      <c r="I403" s="23"/>
    </row>
    <row r="404" spans="2:9" x14ac:dyDescent="0.25">
      <c r="B404" s="33"/>
      <c r="C404" s="33"/>
      <c r="D404" s="33"/>
      <c r="E404" s="17"/>
      <c r="F404" s="33"/>
      <c r="G404" s="23"/>
      <c r="H404" s="23"/>
      <c r="I404" s="23"/>
    </row>
    <row r="405" spans="2:9" x14ac:dyDescent="0.25">
      <c r="B405" s="33"/>
      <c r="C405" s="33"/>
      <c r="D405" s="33"/>
      <c r="E405" s="17"/>
      <c r="F405" s="33"/>
      <c r="G405" s="23"/>
      <c r="H405" s="23"/>
      <c r="I405" s="23"/>
    </row>
    <row r="406" spans="2:9" x14ac:dyDescent="0.25">
      <c r="B406" s="33"/>
      <c r="C406" s="33"/>
      <c r="D406" s="33"/>
      <c r="E406" s="17"/>
      <c r="F406" s="33"/>
      <c r="G406" s="23"/>
      <c r="H406" s="23"/>
      <c r="I406" s="23"/>
    </row>
    <row r="407" spans="2:9" x14ac:dyDescent="0.25">
      <c r="B407" s="33"/>
      <c r="C407" s="33"/>
      <c r="D407" s="33"/>
      <c r="E407" s="17"/>
      <c r="F407" s="33"/>
      <c r="G407" s="23"/>
      <c r="H407" s="23"/>
      <c r="I407" s="23"/>
    </row>
    <row r="408" spans="2:9" x14ac:dyDescent="0.25">
      <c r="B408" s="33"/>
      <c r="C408" s="33"/>
      <c r="D408" s="33"/>
      <c r="E408" s="17"/>
      <c r="F408" s="33"/>
      <c r="G408" s="23"/>
      <c r="H408" s="23"/>
      <c r="I408" s="23"/>
    </row>
    <row r="409" spans="2:9" x14ac:dyDescent="0.25">
      <c r="B409" s="33"/>
      <c r="C409" s="33"/>
      <c r="D409" s="33"/>
      <c r="E409" s="17"/>
      <c r="F409" s="33"/>
      <c r="G409" s="23"/>
      <c r="H409" s="23"/>
      <c r="I409" s="23"/>
    </row>
    <row r="410" spans="2:9" x14ac:dyDescent="0.25">
      <c r="B410" s="33"/>
      <c r="C410" s="33"/>
      <c r="D410" s="33"/>
      <c r="E410" s="17"/>
      <c r="F410" s="33"/>
      <c r="G410" s="23"/>
      <c r="H410" s="23"/>
      <c r="I410" s="23"/>
    </row>
    <row r="411" spans="2:9" x14ac:dyDescent="0.25">
      <c r="B411" s="33"/>
      <c r="C411" s="33"/>
      <c r="D411" s="33"/>
      <c r="E411" s="17"/>
      <c r="F411" s="33"/>
      <c r="G411" s="23"/>
      <c r="H411" s="23"/>
      <c r="I411" s="23"/>
    </row>
    <row r="412" spans="2:9" x14ac:dyDescent="0.25">
      <c r="B412" s="33"/>
      <c r="C412" s="33"/>
      <c r="D412" s="33"/>
      <c r="E412" s="17"/>
      <c r="F412" s="33"/>
      <c r="G412" s="23"/>
      <c r="H412" s="23"/>
      <c r="I412" s="23"/>
    </row>
    <row r="413" spans="2:9" x14ac:dyDescent="0.25">
      <c r="B413" s="33"/>
      <c r="C413" s="33"/>
      <c r="D413" s="33"/>
      <c r="E413" s="17"/>
      <c r="F413" s="33"/>
      <c r="G413" s="23"/>
      <c r="H413" s="23"/>
      <c r="I413" s="23"/>
    </row>
    <row r="414" spans="2:9" x14ac:dyDescent="0.25">
      <c r="B414" s="33"/>
      <c r="C414" s="33"/>
      <c r="D414" s="33"/>
      <c r="E414" s="17"/>
      <c r="F414" s="33"/>
      <c r="G414" s="23"/>
      <c r="H414" s="23"/>
      <c r="I414" s="23"/>
    </row>
    <row r="415" spans="2:9" x14ac:dyDescent="0.25">
      <c r="B415" s="33"/>
      <c r="C415" s="33"/>
      <c r="D415" s="33"/>
      <c r="E415" s="17"/>
      <c r="F415" s="33"/>
      <c r="G415" s="23"/>
      <c r="H415" s="23"/>
      <c r="I415" s="23"/>
    </row>
    <row r="416" spans="2:9" x14ac:dyDescent="0.25">
      <c r="B416" s="33"/>
      <c r="C416" s="33"/>
      <c r="D416" s="33"/>
      <c r="E416" s="17"/>
      <c r="F416" s="33"/>
      <c r="G416" s="23"/>
      <c r="H416" s="23"/>
      <c r="I416" s="23"/>
    </row>
    <row r="417" spans="2:9" x14ac:dyDescent="0.25">
      <c r="B417" s="33"/>
      <c r="C417" s="33"/>
      <c r="D417" s="33"/>
      <c r="E417" s="17"/>
      <c r="F417" s="33"/>
      <c r="G417" s="23"/>
      <c r="H417" s="23"/>
      <c r="I417" s="23"/>
    </row>
    <row r="418" spans="2:9" x14ac:dyDescent="0.25">
      <c r="B418" s="33"/>
      <c r="C418" s="33"/>
      <c r="D418" s="33"/>
      <c r="E418" s="17"/>
      <c r="F418" s="33"/>
      <c r="G418" s="23"/>
      <c r="H418" s="23"/>
      <c r="I418" s="23"/>
    </row>
    <row r="419" spans="2:9" x14ac:dyDescent="0.25">
      <c r="B419" s="33"/>
      <c r="C419" s="33"/>
      <c r="D419" s="33"/>
      <c r="E419" s="17"/>
      <c r="F419" s="33"/>
      <c r="G419" s="23"/>
      <c r="H419" s="23"/>
      <c r="I419" s="23"/>
    </row>
    <row r="420" spans="2:9" x14ac:dyDescent="0.25">
      <c r="B420" s="33"/>
      <c r="C420" s="33"/>
      <c r="D420" s="33"/>
      <c r="E420" s="17"/>
      <c r="F420" s="33"/>
      <c r="G420" s="23"/>
      <c r="H420" s="23"/>
      <c r="I420" s="23"/>
    </row>
    <row r="421" spans="2:9" x14ac:dyDescent="0.25">
      <c r="B421" s="33"/>
      <c r="C421" s="33"/>
      <c r="D421" s="33"/>
      <c r="E421" s="17"/>
      <c r="F421" s="33"/>
      <c r="G421" s="23"/>
      <c r="H421" s="23"/>
      <c r="I421" s="23"/>
    </row>
    <row r="422" spans="2:9" x14ac:dyDescent="0.25">
      <c r="B422" s="33"/>
      <c r="C422" s="33"/>
      <c r="D422" s="33"/>
      <c r="E422" s="17"/>
      <c r="F422" s="33"/>
      <c r="G422" s="23"/>
      <c r="H422" s="23"/>
      <c r="I422" s="23"/>
    </row>
    <row r="423" spans="2:9" x14ac:dyDescent="0.25">
      <c r="B423" s="33"/>
      <c r="C423" s="33"/>
      <c r="D423" s="33"/>
      <c r="E423" s="17"/>
      <c r="F423" s="33"/>
      <c r="G423" s="23"/>
      <c r="H423" s="23"/>
      <c r="I423" s="23"/>
    </row>
    <row r="424" spans="2:9" x14ac:dyDescent="0.25">
      <c r="B424" s="33"/>
      <c r="C424" s="33"/>
      <c r="D424" s="33"/>
      <c r="E424" s="17"/>
      <c r="F424" s="33"/>
      <c r="G424" s="23"/>
      <c r="H424" s="23"/>
      <c r="I424" s="23"/>
    </row>
    <row r="425" spans="2:9" x14ac:dyDescent="0.25">
      <c r="B425" s="33"/>
      <c r="C425" s="33"/>
      <c r="D425" s="33"/>
      <c r="E425" s="17"/>
      <c r="F425" s="33"/>
      <c r="G425" s="23"/>
      <c r="H425" s="23"/>
      <c r="I425" s="23"/>
    </row>
    <row r="426" spans="2:9" x14ac:dyDescent="0.25">
      <c r="B426" s="33"/>
      <c r="C426" s="33"/>
      <c r="D426" s="33"/>
      <c r="E426" s="17"/>
      <c r="F426" s="33"/>
      <c r="G426" s="23"/>
      <c r="H426" s="23"/>
      <c r="I426" s="23"/>
    </row>
    <row r="427" spans="2:9" x14ac:dyDescent="0.25">
      <c r="B427" s="33"/>
      <c r="C427" s="33"/>
      <c r="D427" s="33"/>
      <c r="E427" s="17"/>
      <c r="F427" s="33"/>
      <c r="G427" s="23"/>
      <c r="H427" s="23"/>
      <c r="I427" s="23"/>
    </row>
    <row r="428" spans="2:9" x14ac:dyDescent="0.25">
      <c r="B428" s="33"/>
      <c r="C428" s="33"/>
      <c r="D428" s="33"/>
      <c r="E428" s="17"/>
      <c r="F428" s="33"/>
      <c r="G428" s="23"/>
      <c r="H428" s="23"/>
      <c r="I428" s="23"/>
    </row>
    <row r="429" spans="2:9" x14ac:dyDescent="0.25">
      <c r="B429" s="33"/>
      <c r="C429" s="33"/>
      <c r="D429" s="33"/>
      <c r="E429" s="17"/>
      <c r="F429" s="33"/>
      <c r="G429" s="23"/>
      <c r="H429" s="23"/>
      <c r="I429" s="23"/>
    </row>
    <row r="430" spans="2:9" x14ac:dyDescent="0.25">
      <c r="B430" s="33"/>
      <c r="C430" s="33"/>
      <c r="D430" s="33"/>
      <c r="E430" s="17"/>
      <c r="F430" s="33"/>
      <c r="G430" s="23"/>
      <c r="H430" s="23"/>
      <c r="I430" s="23"/>
    </row>
    <row r="431" spans="2:9" x14ac:dyDescent="0.25">
      <c r="B431" s="33"/>
      <c r="C431" s="33"/>
      <c r="D431" s="33"/>
      <c r="E431" s="17"/>
      <c r="F431" s="33"/>
      <c r="G431" s="23"/>
      <c r="H431" s="23"/>
      <c r="I431" s="23"/>
    </row>
    <row r="432" spans="2:9" x14ac:dyDescent="0.25">
      <c r="B432" s="33"/>
      <c r="C432" s="33"/>
      <c r="D432" s="33"/>
      <c r="E432" s="17"/>
      <c r="F432" s="33"/>
      <c r="G432" s="23"/>
      <c r="H432" s="23"/>
      <c r="I432" s="23"/>
    </row>
    <row r="433" spans="2:9" x14ac:dyDescent="0.25">
      <c r="B433" s="33"/>
      <c r="C433" s="33"/>
      <c r="D433" s="33"/>
      <c r="E433" s="17"/>
      <c r="F433" s="33"/>
      <c r="G433" s="23"/>
      <c r="H433" s="23"/>
      <c r="I433" s="23"/>
    </row>
    <row r="434" spans="2:9" x14ac:dyDescent="0.25">
      <c r="B434" s="33"/>
      <c r="C434" s="33"/>
      <c r="D434" s="33"/>
      <c r="E434" s="17"/>
      <c r="F434" s="33"/>
      <c r="G434" s="23"/>
      <c r="H434" s="23"/>
      <c r="I434" s="23"/>
    </row>
    <row r="435" spans="2:9" x14ac:dyDescent="0.25">
      <c r="B435" s="33"/>
      <c r="C435" s="33"/>
      <c r="D435" s="33"/>
      <c r="E435" s="17"/>
      <c r="F435" s="33"/>
      <c r="G435" s="23"/>
      <c r="H435" s="23"/>
      <c r="I435" s="23"/>
    </row>
    <row r="436" spans="2:9" x14ac:dyDescent="0.25">
      <c r="B436" s="33"/>
      <c r="C436" s="33"/>
      <c r="D436" s="33"/>
      <c r="E436" s="17"/>
      <c r="F436" s="33"/>
      <c r="G436" s="23"/>
      <c r="H436" s="23"/>
      <c r="I436" s="23"/>
    </row>
    <row r="437" spans="2:9" x14ac:dyDescent="0.25">
      <c r="B437" s="33"/>
      <c r="C437" s="33"/>
      <c r="D437" s="33"/>
      <c r="E437" s="17"/>
      <c r="F437" s="33"/>
      <c r="G437" s="23"/>
      <c r="H437" s="23"/>
      <c r="I437" s="23"/>
    </row>
    <row r="438" spans="2:9" x14ac:dyDescent="0.25">
      <c r="B438" s="33"/>
      <c r="C438" s="33"/>
      <c r="D438" s="33"/>
      <c r="E438" s="17"/>
      <c r="F438" s="33"/>
      <c r="G438" s="23"/>
      <c r="H438" s="23"/>
      <c r="I438" s="23"/>
    </row>
    <row r="439" spans="2:9" x14ac:dyDescent="0.25">
      <c r="B439" s="33"/>
      <c r="C439" s="33"/>
      <c r="D439" s="33"/>
      <c r="E439" s="17"/>
      <c r="F439" s="33"/>
      <c r="G439" s="23"/>
      <c r="H439" s="23"/>
      <c r="I439" s="23"/>
    </row>
    <row r="440" spans="2:9" x14ac:dyDescent="0.25">
      <c r="B440" s="33"/>
      <c r="C440" s="33"/>
      <c r="D440" s="33"/>
      <c r="E440" s="17"/>
      <c r="F440" s="33"/>
      <c r="G440" s="23"/>
      <c r="H440" s="23"/>
      <c r="I440" s="23"/>
    </row>
    <row r="441" spans="2:9" x14ac:dyDescent="0.25">
      <c r="B441" s="33"/>
      <c r="C441" s="33"/>
      <c r="D441" s="33"/>
      <c r="E441" s="17"/>
      <c r="F441" s="33"/>
      <c r="G441" s="23"/>
      <c r="H441" s="23"/>
      <c r="I441" s="23"/>
    </row>
    <row r="442" spans="2:9" x14ac:dyDescent="0.25">
      <c r="B442" s="33"/>
      <c r="C442" s="33"/>
      <c r="D442" s="33"/>
      <c r="E442" s="17"/>
      <c r="F442" s="33"/>
      <c r="G442" s="23"/>
      <c r="H442" s="23"/>
      <c r="I442" s="23"/>
    </row>
    <row r="443" spans="2:9" x14ac:dyDescent="0.25">
      <c r="B443" s="33"/>
      <c r="C443" s="33"/>
      <c r="D443" s="33"/>
      <c r="E443" s="17"/>
      <c r="F443" s="33"/>
      <c r="G443" s="23"/>
      <c r="H443" s="23"/>
      <c r="I443" s="23"/>
    </row>
    <row r="444" spans="2:9" x14ac:dyDescent="0.25">
      <c r="B444" s="33"/>
      <c r="C444" s="33"/>
      <c r="D444" s="33"/>
      <c r="E444" s="17"/>
      <c r="F444" s="33"/>
      <c r="G444" s="23"/>
      <c r="H444" s="23"/>
      <c r="I444" s="23"/>
    </row>
    <row r="445" spans="2:9" x14ac:dyDescent="0.25">
      <c r="B445" s="33"/>
      <c r="C445" s="33"/>
      <c r="D445" s="33"/>
      <c r="E445" s="17"/>
      <c r="F445" s="33"/>
      <c r="G445" s="23"/>
      <c r="H445" s="23"/>
      <c r="I445" s="23"/>
    </row>
    <row r="446" spans="2:9" x14ac:dyDescent="0.25">
      <c r="B446" s="33"/>
      <c r="C446" s="33"/>
      <c r="D446" s="33"/>
      <c r="E446" s="17"/>
      <c r="F446" s="33"/>
      <c r="G446" s="23"/>
      <c r="H446" s="23"/>
      <c r="I446" s="23"/>
    </row>
    <row r="447" spans="2:9" x14ac:dyDescent="0.25">
      <c r="B447" s="33"/>
      <c r="C447" s="33"/>
      <c r="D447" s="33"/>
      <c r="E447" s="17"/>
      <c r="F447" s="33"/>
      <c r="G447" s="23"/>
      <c r="H447" s="23"/>
      <c r="I447" s="23"/>
    </row>
    <row r="448" spans="2:9" x14ac:dyDescent="0.25">
      <c r="B448" s="33"/>
      <c r="C448" s="33"/>
      <c r="D448" s="33"/>
      <c r="E448" s="17"/>
      <c r="F448" s="33"/>
      <c r="G448" s="23"/>
      <c r="H448" s="23"/>
      <c r="I448" s="23"/>
    </row>
    <row r="449" spans="2:9" x14ac:dyDescent="0.25">
      <c r="B449" s="33"/>
      <c r="C449" s="33"/>
      <c r="D449" s="33"/>
      <c r="E449" s="17"/>
      <c r="F449" s="33"/>
      <c r="G449" s="23"/>
      <c r="H449" s="23"/>
      <c r="I449" s="23"/>
    </row>
    <row r="450" spans="2:9" x14ac:dyDescent="0.25">
      <c r="B450" s="33"/>
      <c r="C450" s="33"/>
      <c r="D450" s="33"/>
      <c r="E450" s="17"/>
      <c r="F450" s="33"/>
      <c r="G450" s="23"/>
      <c r="H450" s="23"/>
      <c r="I450" s="23"/>
    </row>
    <row r="451" spans="2:9" x14ac:dyDescent="0.25">
      <c r="B451" s="33"/>
      <c r="C451" s="33"/>
      <c r="D451" s="33"/>
      <c r="E451" s="17"/>
      <c r="F451" s="33"/>
      <c r="G451" s="23"/>
      <c r="H451" s="23"/>
      <c r="I451" s="23"/>
    </row>
    <row r="452" spans="2:9" x14ac:dyDescent="0.25">
      <c r="B452" s="33"/>
      <c r="C452" s="33"/>
      <c r="D452" s="33"/>
      <c r="E452" s="17"/>
      <c r="F452" s="33"/>
      <c r="G452" s="23"/>
      <c r="H452" s="23"/>
      <c r="I452" s="23"/>
    </row>
    <row r="453" spans="2:9" x14ac:dyDescent="0.25">
      <c r="B453" s="33"/>
      <c r="C453" s="33"/>
      <c r="D453" s="33"/>
      <c r="E453" s="17"/>
      <c r="F453" s="33"/>
      <c r="G453" s="23"/>
      <c r="H453" s="23"/>
      <c r="I453" s="23"/>
    </row>
    <row r="454" spans="2:9" x14ac:dyDescent="0.25">
      <c r="B454" s="33"/>
      <c r="C454" s="33"/>
      <c r="D454" s="33"/>
      <c r="E454" s="17"/>
      <c r="F454" s="33"/>
      <c r="G454" s="23"/>
      <c r="H454" s="23"/>
      <c r="I454" s="23"/>
    </row>
    <row r="455" spans="2:9" x14ac:dyDescent="0.25">
      <c r="B455" s="33"/>
      <c r="C455" s="33"/>
      <c r="D455" s="33"/>
      <c r="E455" s="17"/>
      <c r="F455" s="33"/>
      <c r="G455" s="23"/>
      <c r="H455" s="23"/>
      <c r="I455" s="23"/>
    </row>
    <row r="456" spans="2:9" x14ac:dyDescent="0.25">
      <c r="B456" s="33"/>
      <c r="C456" s="33"/>
      <c r="D456" s="33"/>
      <c r="E456" s="17"/>
      <c r="F456" s="33"/>
      <c r="G456" s="23"/>
      <c r="H456" s="23"/>
      <c r="I456" s="23"/>
    </row>
    <row r="457" spans="2:9" x14ac:dyDescent="0.25">
      <c r="B457" s="33"/>
      <c r="C457" s="33"/>
      <c r="D457" s="33"/>
      <c r="E457" s="17"/>
      <c r="F457" s="33"/>
      <c r="G457" s="23"/>
      <c r="H457" s="23"/>
      <c r="I457" s="23"/>
    </row>
    <row r="458" spans="2:9" x14ac:dyDescent="0.25">
      <c r="B458" s="33"/>
      <c r="C458" s="33"/>
      <c r="D458" s="33"/>
      <c r="E458" s="17"/>
      <c r="F458" s="33"/>
      <c r="G458" s="23"/>
      <c r="H458" s="23"/>
      <c r="I458" s="23"/>
    </row>
    <row r="459" spans="2:9" x14ac:dyDescent="0.25">
      <c r="B459" s="33"/>
      <c r="C459" s="33"/>
      <c r="D459" s="33"/>
      <c r="E459" s="17"/>
      <c r="F459" s="33"/>
      <c r="G459" s="23"/>
      <c r="H459" s="23"/>
      <c r="I459" s="23"/>
    </row>
    <row r="460" spans="2:9" x14ac:dyDescent="0.25">
      <c r="B460" s="33"/>
      <c r="C460" s="33"/>
      <c r="D460" s="33"/>
      <c r="E460" s="17"/>
      <c r="F460" s="33"/>
      <c r="G460" s="23"/>
      <c r="H460" s="23"/>
      <c r="I460" s="23"/>
    </row>
    <row r="461" spans="2:9" x14ac:dyDescent="0.25">
      <c r="B461" s="33"/>
      <c r="C461" s="33"/>
      <c r="D461" s="33"/>
      <c r="E461" s="17"/>
      <c r="F461" s="33"/>
      <c r="G461" s="23"/>
      <c r="H461" s="23"/>
      <c r="I461" s="23"/>
    </row>
    <row r="462" spans="2:9" x14ac:dyDescent="0.25">
      <c r="B462" s="33"/>
      <c r="C462" s="33"/>
      <c r="D462" s="33"/>
      <c r="E462" s="17"/>
      <c r="F462" s="33"/>
      <c r="G462" s="23"/>
      <c r="H462" s="23"/>
      <c r="I462" s="23"/>
    </row>
    <row r="463" spans="2:9" x14ac:dyDescent="0.25">
      <c r="B463" s="33"/>
      <c r="C463" s="33"/>
      <c r="D463" s="33"/>
      <c r="E463" s="17"/>
      <c r="F463" s="33"/>
      <c r="G463" s="23"/>
      <c r="H463" s="23"/>
      <c r="I463" s="23"/>
    </row>
    <row r="464" spans="2:9" x14ac:dyDescent="0.25">
      <c r="B464" s="33"/>
      <c r="C464" s="33"/>
      <c r="D464" s="33"/>
      <c r="E464" s="17"/>
      <c r="F464" s="33"/>
      <c r="G464" s="23"/>
      <c r="H464" s="23"/>
      <c r="I464" s="23"/>
    </row>
    <row r="465" spans="2:9" x14ac:dyDescent="0.25">
      <c r="B465" s="33"/>
      <c r="C465" s="33"/>
      <c r="D465" s="33"/>
      <c r="E465" s="17"/>
      <c r="F465" s="33"/>
      <c r="G465" s="23"/>
      <c r="H465" s="23"/>
      <c r="I465" s="23"/>
    </row>
    <row r="466" spans="2:9" x14ac:dyDescent="0.25">
      <c r="B466" s="33"/>
      <c r="C466" s="33"/>
      <c r="D466" s="33"/>
      <c r="E466" s="17"/>
      <c r="F466" s="33"/>
      <c r="G466" s="23"/>
      <c r="H466" s="23"/>
      <c r="I466" s="23"/>
    </row>
    <row r="467" spans="2:9" x14ac:dyDescent="0.25">
      <c r="B467" s="33"/>
      <c r="C467" s="33"/>
      <c r="D467" s="33"/>
      <c r="E467" s="17"/>
      <c r="F467" s="33"/>
      <c r="G467" s="23"/>
      <c r="H467" s="23"/>
      <c r="I467" s="23"/>
    </row>
    <row r="468" spans="2:9" x14ac:dyDescent="0.25">
      <c r="B468" s="33"/>
      <c r="C468" s="33"/>
      <c r="D468" s="33"/>
      <c r="E468" s="17"/>
      <c r="F468" s="33"/>
      <c r="G468" s="23"/>
      <c r="H468" s="23"/>
      <c r="I468" s="23"/>
    </row>
    <row r="469" spans="2:9" x14ac:dyDescent="0.25">
      <c r="B469" s="33"/>
      <c r="C469" s="33"/>
      <c r="D469" s="33"/>
      <c r="E469" s="17"/>
      <c r="F469" s="33"/>
      <c r="G469" s="23"/>
      <c r="H469" s="23"/>
      <c r="I469" s="23"/>
    </row>
    <row r="470" spans="2:9" x14ac:dyDescent="0.25">
      <c r="B470" s="33"/>
      <c r="C470" s="33"/>
      <c r="D470" s="33"/>
      <c r="E470" s="17"/>
      <c r="F470" s="33"/>
      <c r="G470" s="23"/>
      <c r="H470" s="23"/>
      <c r="I470" s="23"/>
    </row>
    <row r="471" spans="2:9" x14ac:dyDescent="0.25">
      <c r="B471" s="33"/>
      <c r="C471" s="33"/>
      <c r="D471" s="33"/>
      <c r="E471" s="17"/>
      <c r="F471" s="33"/>
      <c r="G471" s="23"/>
      <c r="H471" s="23"/>
      <c r="I471" s="23"/>
    </row>
    <row r="472" spans="2:9" x14ac:dyDescent="0.25">
      <c r="B472" s="33"/>
      <c r="C472" s="33"/>
      <c r="D472" s="33"/>
      <c r="E472" s="17"/>
      <c r="F472" s="33"/>
      <c r="G472" s="23"/>
      <c r="H472" s="23"/>
      <c r="I472" s="23"/>
    </row>
    <row r="473" spans="2:9" x14ac:dyDescent="0.25">
      <c r="B473" s="33"/>
      <c r="C473" s="33"/>
      <c r="D473" s="33"/>
      <c r="E473" s="17"/>
      <c r="F473" s="33"/>
      <c r="G473" s="23"/>
      <c r="H473" s="23"/>
      <c r="I473" s="23"/>
    </row>
    <row r="474" spans="2:9" x14ac:dyDescent="0.25">
      <c r="B474" s="33"/>
      <c r="C474" s="33"/>
      <c r="D474" s="33"/>
      <c r="E474" s="17"/>
      <c r="F474" s="33"/>
      <c r="G474" s="23"/>
      <c r="H474" s="23"/>
      <c r="I474" s="23"/>
    </row>
    <row r="475" spans="2:9" x14ac:dyDescent="0.25">
      <c r="B475" s="33"/>
      <c r="C475" s="33"/>
      <c r="D475" s="33"/>
      <c r="E475" s="17"/>
      <c r="F475" s="33"/>
      <c r="G475" s="23"/>
      <c r="H475" s="23"/>
      <c r="I475" s="23"/>
    </row>
    <row r="476" spans="2:9" x14ac:dyDescent="0.25">
      <c r="B476" s="33"/>
      <c r="C476" s="33"/>
      <c r="D476" s="33"/>
      <c r="E476" s="17"/>
      <c r="F476" s="33"/>
      <c r="G476" s="23"/>
      <c r="H476" s="23"/>
      <c r="I476" s="23"/>
    </row>
    <row r="477" spans="2:9" x14ac:dyDescent="0.25">
      <c r="B477" s="33"/>
      <c r="C477" s="33"/>
      <c r="D477" s="33"/>
      <c r="E477" s="17"/>
      <c r="F477" s="33"/>
      <c r="G477" s="23"/>
      <c r="H477" s="23"/>
      <c r="I477" s="23"/>
    </row>
    <row r="478" spans="2:9" x14ac:dyDescent="0.25">
      <c r="B478" s="33"/>
      <c r="C478" s="33"/>
      <c r="D478" s="33"/>
      <c r="E478" s="17"/>
      <c r="F478" s="33"/>
      <c r="G478" s="23"/>
      <c r="H478" s="23"/>
      <c r="I478" s="23"/>
    </row>
    <row r="479" spans="2:9" x14ac:dyDescent="0.25">
      <c r="B479" s="33"/>
      <c r="C479" s="33"/>
      <c r="D479" s="33"/>
      <c r="E479" s="17"/>
      <c r="F479" s="33"/>
      <c r="G479" s="23"/>
      <c r="H479" s="23"/>
      <c r="I479" s="23"/>
    </row>
    <row r="480" spans="2:9" x14ac:dyDescent="0.25">
      <c r="B480" s="33"/>
      <c r="C480" s="33"/>
      <c r="D480" s="33"/>
      <c r="E480" s="17"/>
      <c r="F480" s="33"/>
      <c r="G480" s="23"/>
      <c r="H480" s="23"/>
      <c r="I480" s="23"/>
    </row>
    <row r="481" spans="2:9" x14ac:dyDescent="0.25">
      <c r="B481" s="33"/>
      <c r="C481" s="33"/>
      <c r="D481" s="33"/>
      <c r="E481" s="17"/>
      <c r="F481" s="33"/>
      <c r="G481" s="23"/>
      <c r="H481" s="23"/>
      <c r="I481" s="23"/>
    </row>
    <row r="482" spans="2:9" x14ac:dyDescent="0.25">
      <c r="B482" s="33"/>
      <c r="C482" s="33"/>
      <c r="D482" s="33"/>
      <c r="E482" s="17"/>
      <c r="F482" s="33"/>
      <c r="G482" s="23"/>
      <c r="H482" s="23"/>
      <c r="I482" s="23"/>
    </row>
    <row r="483" spans="2:9" x14ac:dyDescent="0.25">
      <c r="B483" s="33"/>
      <c r="C483" s="33"/>
      <c r="D483" s="33"/>
      <c r="E483" s="17"/>
      <c r="F483" s="33"/>
      <c r="G483" s="23"/>
      <c r="H483" s="23"/>
      <c r="I483" s="23"/>
    </row>
    <row r="484" spans="2:9" x14ac:dyDescent="0.25">
      <c r="B484" s="33"/>
      <c r="C484" s="33"/>
      <c r="D484" s="33"/>
      <c r="E484" s="17"/>
      <c r="F484" s="33"/>
      <c r="G484" s="23"/>
      <c r="H484" s="23"/>
      <c r="I484" s="23"/>
    </row>
    <row r="485" spans="2:9" x14ac:dyDescent="0.25">
      <c r="B485" s="33"/>
      <c r="C485" s="33"/>
      <c r="D485" s="33"/>
      <c r="E485" s="17"/>
      <c r="F485" s="33"/>
      <c r="G485" s="23"/>
      <c r="H485" s="23"/>
      <c r="I485" s="23"/>
    </row>
    <row r="486" spans="2:9" x14ac:dyDescent="0.25">
      <c r="B486" s="33"/>
      <c r="C486" s="33"/>
      <c r="D486" s="33"/>
      <c r="E486" s="17"/>
      <c r="F486" s="33"/>
      <c r="G486" s="23"/>
      <c r="H486" s="23"/>
      <c r="I486" s="23"/>
    </row>
    <row r="487" spans="2:9" x14ac:dyDescent="0.25">
      <c r="B487" s="33"/>
      <c r="C487" s="33"/>
      <c r="D487" s="33"/>
      <c r="E487" s="17"/>
      <c r="F487" s="33"/>
      <c r="G487" s="23"/>
      <c r="H487" s="23"/>
      <c r="I487" s="23"/>
    </row>
    <row r="488" spans="2:9" x14ac:dyDescent="0.25">
      <c r="B488" s="33"/>
      <c r="C488" s="33"/>
      <c r="D488" s="33"/>
      <c r="E488" s="17"/>
      <c r="F488" s="33"/>
      <c r="G488" s="23"/>
      <c r="H488" s="23"/>
      <c r="I488" s="23"/>
    </row>
    <row r="489" spans="2:9" x14ac:dyDescent="0.25">
      <c r="B489" s="33"/>
      <c r="C489" s="33"/>
      <c r="D489" s="33"/>
      <c r="E489" s="17"/>
      <c r="F489" s="33"/>
      <c r="G489" s="23"/>
      <c r="H489" s="23"/>
      <c r="I489" s="23"/>
    </row>
    <row r="490" spans="2:9" x14ac:dyDescent="0.25">
      <c r="B490" s="33"/>
      <c r="C490" s="33"/>
      <c r="D490" s="33"/>
      <c r="E490" s="17"/>
      <c r="F490" s="33"/>
      <c r="G490" s="23"/>
      <c r="H490" s="23"/>
      <c r="I490" s="23"/>
    </row>
    <row r="491" spans="2:9" x14ac:dyDescent="0.25">
      <c r="B491" s="33"/>
      <c r="C491" s="33"/>
      <c r="D491" s="33"/>
      <c r="E491" s="17"/>
      <c r="F491" s="33"/>
      <c r="G491" s="23"/>
      <c r="H491" s="23"/>
      <c r="I491" s="23"/>
    </row>
    <row r="492" spans="2:9" x14ac:dyDescent="0.25">
      <c r="B492" s="33"/>
      <c r="C492" s="33"/>
      <c r="D492" s="33"/>
      <c r="E492" s="17"/>
      <c r="F492" s="33"/>
      <c r="G492" s="23"/>
      <c r="H492" s="23"/>
      <c r="I492" s="23"/>
    </row>
    <row r="493" spans="2:9" x14ac:dyDescent="0.25">
      <c r="B493" s="33"/>
      <c r="C493" s="33"/>
      <c r="D493" s="33"/>
      <c r="E493" s="17"/>
      <c r="F493" s="33"/>
      <c r="G493" s="23"/>
      <c r="H493" s="23"/>
      <c r="I493" s="23"/>
    </row>
    <row r="494" spans="2:9" x14ac:dyDescent="0.25">
      <c r="B494" s="33"/>
      <c r="C494" s="33"/>
      <c r="D494" s="33"/>
      <c r="E494" s="17"/>
      <c r="F494" s="33"/>
      <c r="G494" s="23"/>
      <c r="H494" s="23"/>
      <c r="I494" s="23"/>
    </row>
    <row r="495" spans="2:9" x14ac:dyDescent="0.25">
      <c r="B495" s="33"/>
      <c r="C495" s="33"/>
      <c r="D495" s="33"/>
      <c r="E495" s="17"/>
      <c r="F495" s="33"/>
      <c r="G495" s="23"/>
      <c r="H495" s="23"/>
      <c r="I495" s="23"/>
    </row>
    <row r="496" spans="2:9" x14ac:dyDescent="0.25">
      <c r="B496" s="33"/>
      <c r="C496" s="33"/>
      <c r="D496" s="33"/>
      <c r="E496" s="17"/>
      <c r="F496" s="33"/>
      <c r="G496" s="23"/>
      <c r="H496" s="23"/>
      <c r="I496" s="23"/>
    </row>
    <row r="497" spans="2:9" x14ac:dyDescent="0.25">
      <c r="B497" s="33"/>
      <c r="C497" s="33"/>
      <c r="D497" s="33"/>
      <c r="E497" s="17"/>
      <c r="F497" s="33"/>
      <c r="G497" s="23"/>
      <c r="H497" s="23"/>
      <c r="I497" s="23"/>
    </row>
    <row r="498" spans="2:9" x14ac:dyDescent="0.25">
      <c r="B498" s="33"/>
      <c r="C498" s="33"/>
      <c r="D498" s="33"/>
      <c r="E498" s="17"/>
      <c r="F498" s="33"/>
      <c r="G498" s="23"/>
      <c r="H498" s="23"/>
      <c r="I498" s="23"/>
    </row>
    <row r="499" spans="2:9" x14ac:dyDescent="0.25">
      <c r="B499" s="33"/>
      <c r="C499" s="33"/>
      <c r="D499" s="33"/>
      <c r="E499" s="17"/>
      <c r="F499" s="33"/>
      <c r="G499" s="23"/>
      <c r="H499" s="23"/>
      <c r="I499" s="23"/>
    </row>
    <row r="500" spans="2:9" x14ac:dyDescent="0.25">
      <c r="B500" s="33"/>
      <c r="C500" s="33"/>
      <c r="D500" s="33"/>
      <c r="E500" s="17"/>
      <c r="F500" s="33"/>
      <c r="G500" s="23"/>
      <c r="H500" s="23"/>
      <c r="I500" s="23"/>
    </row>
    <row r="501" spans="2:9" x14ac:dyDescent="0.25">
      <c r="B501" s="33"/>
      <c r="C501" s="33"/>
      <c r="D501" s="33"/>
      <c r="E501" s="17"/>
      <c r="F501" s="33"/>
      <c r="G501" s="23"/>
      <c r="H501" s="23"/>
      <c r="I501" s="23"/>
    </row>
  </sheetData>
  <sheetProtection algorithmName="SHA-512" hashValue="lsg1bSa/pO8CrLNouObB5wJ2euHkUnThjeH0/ft2wmjGR5UkuNhcXRj8vNmwgTell8nLO3PF7hEZcsrU6Ax4Yg==" saltValue="+q5cIur/ugkA7qcnt15F5A==" spinCount="100000" sheet="1" objects="1" scenarios="1" selectLockedCells="1"/>
  <mergeCells count="7">
    <mergeCell ref="G11:H11"/>
    <mergeCell ref="G12:H12"/>
    <mergeCell ref="G13:H13"/>
    <mergeCell ref="G1:I1"/>
    <mergeCell ref="G8:I8"/>
    <mergeCell ref="G9:H9"/>
    <mergeCell ref="G10:H10"/>
  </mergeCells>
  <dataValidations count="1">
    <dataValidation type="list" allowBlank="1" showInputMessage="1" showErrorMessage="1" sqref="E2:E33">
      <formula1>$G$3:$G$7</formula1>
    </dataValidation>
  </dataValidations>
  <pageMargins left="0.7" right="0.7" top="0.75" bottom="0.75" header="0.3" footer="0.3"/>
  <pageSetup paperSize="9" orientation="portrait" r:id="rId1"/>
  <ignoredErrors>
    <ignoredError sqref="I11" twoDigitTextYea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L493"/>
  <sheetViews>
    <sheetView topLeftCell="C1" workbookViewId="0">
      <selection activeCell="C2" sqref="C2"/>
    </sheetView>
  </sheetViews>
  <sheetFormatPr defaultRowHeight="13.8" x14ac:dyDescent="0.25"/>
  <cols>
    <col min="1" max="1" width="13" style="45" customWidth="1"/>
    <col min="2" max="2" width="39.09765625" style="55" customWidth="1"/>
    <col min="3" max="3" width="27.09765625" style="17" customWidth="1"/>
    <col min="4" max="4" width="12.59765625" style="17" customWidth="1"/>
    <col min="5" max="7" width="13" style="17" customWidth="1"/>
    <col min="8" max="8" width="13.5" style="17" customWidth="1"/>
    <col min="9" max="9" width="15.796875" style="17" customWidth="1"/>
    <col min="10" max="10" width="15.296875" style="17" customWidth="1"/>
    <col min="11" max="11" width="16.8984375" style="17" customWidth="1"/>
    <col min="12" max="12" width="16.59765625" style="45" customWidth="1"/>
    <col min="13" max="16384" width="8.796875" style="67"/>
  </cols>
  <sheetData>
    <row r="1" spans="1:12" s="68" customFormat="1" ht="27.6" x14ac:dyDescent="0.25">
      <c r="A1" s="55" t="s">
        <v>40</v>
      </c>
      <c r="B1" s="55" t="s">
        <v>82</v>
      </c>
      <c r="C1" s="70" t="s">
        <v>89</v>
      </c>
      <c r="D1" s="70" t="s">
        <v>90</v>
      </c>
      <c r="E1" s="70" t="s">
        <v>70</v>
      </c>
      <c r="F1" s="70" t="s">
        <v>71</v>
      </c>
      <c r="G1" s="70" t="s">
        <v>72</v>
      </c>
      <c r="H1" s="70" t="s">
        <v>16</v>
      </c>
      <c r="I1" s="70" t="s">
        <v>17</v>
      </c>
      <c r="J1" s="70" t="s">
        <v>18</v>
      </c>
      <c r="K1" s="70" t="s">
        <v>19</v>
      </c>
      <c r="L1" s="55" t="s">
        <v>21</v>
      </c>
    </row>
    <row r="2" spans="1:12" x14ac:dyDescent="0.25">
      <c r="A2" s="45" t="str">
        <f>IF(Risk_Scenarios!I2="","",Risk_Scenarios!I2)</f>
        <v>R-01</v>
      </c>
      <c r="B2" s="55" t="str">
        <f>IF(Risk_Scenarios!B2="","",Risk_Scenarios!B2)</f>
        <v>Unauthorized access by an attacker</v>
      </c>
      <c r="C2" s="17" t="s">
        <v>141</v>
      </c>
      <c r="D2" s="17">
        <v>0</v>
      </c>
      <c r="E2" s="17">
        <v>2</v>
      </c>
      <c r="F2" s="17">
        <v>2</v>
      </c>
      <c r="G2" s="17">
        <v>1</v>
      </c>
      <c r="H2" s="17">
        <v>3</v>
      </c>
      <c r="I2" s="17">
        <v>3</v>
      </c>
      <c r="J2" s="17">
        <v>1</v>
      </c>
      <c r="K2" s="17">
        <v>3</v>
      </c>
      <c r="L2" s="45">
        <f>IF(OR(E2="",F2="",G2="",H2="",I2="",J2="",K2=""), "",MAX(E2:F2:G2:H2:I2:J2:K2, 0))</f>
        <v>3</v>
      </c>
    </row>
    <row r="3" spans="1:12" x14ac:dyDescent="0.25">
      <c r="A3" s="45" t="str">
        <f>IF(Risk_Scenarios!I3="","",Risk_Scenarios!I3)</f>
        <v/>
      </c>
      <c r="B3" s="55" t="str">
        <f>IF(Risk_Scenarios!B3="","",Risk_Scenarios!B3)</f>
        <v/>
      </c>
      <c r="L3" s="45" t="str">
        <f>IF(OR(E3="",F3="",G3="",H3="",I3="",J3="",K3=""), "",MAX(E3:F3:G3:H3:I3:J3:K3, 0))</f>
        <v/>
      </c>
    </row>
    <row r="4" spans="1:12" x14ac:dyDescent="0.25">
      <c r="A4" s="45" t="str">
        <f>IF(Risk_Scenarios!I4="","",Risk_Scenarios!I4)</f>
        <v/>
      </c>
      <c r="B4" s="55" t="str">
        <f>IF(Risk_Scenarios!B4="","",Risk_Scenarios!B4)</f>
        <v/>
      </c>
      <c r="L4" s="45" t="str">
        <f>IF(OR(E4="",F4="",G4="",H4="",I4="",J4="",K4=""), "",MAX(E4:F4:G4:H4:I4:J4:K4, 0))</f>
        <v/>
      </c>
    </row>
    <row r="5" spans="1:12" x14ac:dyDescent="0.25">
      <c r="A5" s="45" t="str">
        <f>IF(Risk_Scenarios!I5="","",Risk_Scenarios!I5)</f>
        <v/>
      </c>
      <c r="B5" s="55" t="str">
        <f>IF(Risk_Scenarios!B5="","",Risk_Scenarios!B5)</f>
        <v/>
      </c>
      <c r="L5" s="45" t="str">
        <f>IF(OR(E5="",F5="",G5="",H5="",I5="",J5="",K5=""), "",MAX(E5:F5:G5:H5:I5:J5:K5, 0))</f>
        <v/>
      </c>
    </row>
    <row r="6" spans="1:12" x14ac:dyDescent="0.25">
      <c r="A6" s="45" t="str">
        <f>IF(Risk_Scenarios!I6="","",Risk_Scenarios!I6)</f>
        <v/>
      </c>
      <c r="B6" s="55" t="str">
        <f>IF(Risk_Scenarios!B6="","",Risk_Scenarios!B6)</f>
        <v/>
      </c>
      <c r="L6" s="45" t="str">
        <f>IF(OR(E6="",F6="",G6="",H6="",I6="",J6="",K6=""), "",MAX(E6:F6:G6:H6:I6:J6:K6, 0))</f>
        <v/>
      </c>
    </row>
    <row r="7" spans="1:12" x14ac:dyDescent="0.25">
      <c r="A7" s="45" t="str">
        <f>IF(Risk_Scenarios!I7="","",Risk_Scenarios!I7)</f>
        <v/>
      </c>
      <c r="B7" s="55" t="str">
        <f>IF(Risk_Scenarios!B7="","",Risk_Scenarios!B7)</f>
        <v/>
      </c>
      <c r="L7" s="45" t="str">
        <f>IF(OR(E7="",F7="",G7="",H7="",I7="",J7="",K7=""), "",MAX(E7:F7:G7:H7:I7:J7:K7, 0))</f>
        <v/>
      </c>
    </row>
    <row r="8" spans="1:12" x14ac:dyDescent="0.25">
      <c r="A8" s="45" t="str">
        <f>IF(Risk_Scenarios!I8="","",Risk_Scenarios!I8)</f>
        <v/>
      </c>
      <c r="B8" s="55" t="str">
        <f>IF(Risk_Scenarios!B8="","",Risk_Scenarios!B8)</f>
        <v/>
      </c>
      <c r="L8" s="45" t="str">
        <f>IF(OR(E8="",F8="",G8="",H8="",I8="",J8="",K8=""), "",MAX(E8:F8:G8:H8:I8:J8:K8, 0))</f>
        <v/>
      </c>
    </row>
    <row r="9" spans="1:12" x14ac:dyDescent="0.25">
      <c r="A9" s="45" t="str">
        <f>IF(Risk_Scenarios!I9="","",Risk_Scenarios!I9)</f>
        <v/>
      </c>
      <c r="B9" s="55" t="str">
        <f>IF(Risk_Scenarios!B9="","",Risk_Scenarios!B9)</f>
        <v/>
      </c>
      <c r="L9" s="45" t="str">
        <f>IF(OR(E9="",F9="",G9="",H9="",I9="",J9="",K9=""), "",MAX(E9:F9:G9:H9:I9:J9:K9, 0))</f>
        <v/>
      </c>
    </row>
    <row r="10" spans="1:12" x14ac:dyDescent="0.25">
      <c r="A10" s="45" t="str">
        <f>IF(Risk_Scenarios!I10="","",Risk_Scenarios!I10)</f>
        <v/>
      </c>
      <c r="B10" s="55" t="str">
        <f>IF(Risk_Scenarios!B10="","",Risk_Scenarios!B10)</f>
        <v/>
      </c>
      <c r="L10" s="45" t="str">
        <f>IF(OR(E10="",F10="",G10="",H10="",I10="",J10="",K10=""), "",MAX(E10:F10:G10:H10:I10:J10:K10, 0))</f>
        <v/>
      </c>
    </row>
    <row r="11" spans="1:12" x14ac:dyDescent="0.25">
      <c r="A11" s="45" t="str">
        <f>IF(Risk_Scenarios!I11="","",Risk_Scenarios!I11)</f>
        <v/>
      </c>
      <c r="B11" s="55" t="str">
        <f>IF(Risk_Scenarios!B11="","",Risk_Scenarios!B11)</f>
        <v/>
      </c>
      <c r="L11" s="45" t="str">
        <f>IF(OR(E11="",F11="",G11="",H11="",I11="",J11="",K11=""), "",MAX(E11:F11:G11:H11:I11:J11:K11, 0))</f>
        <v/>
      </c>
    </row>
    <row r="12" spans="1:12" x14ac:dyDescent="0.25">
      <c r="A12" s="45" t="str">
        <f>IF(Risk_Scenarios!I12="","",Risk_Scenarios!I12)</f>
        <v/>
      </c>
      <c r="B12" s="55" t="str">
        <f>IF(Risk_Scenarios!B12="","",Risk_Scenarios!B12)</f>
        <v/>
      </c>
      <c r="L12" s="45" t="str">
        <f>IF(OR(E12="",F12="",G12="",H12="",I12="",J12="",K12=""), "",MAX(E12:F12:G12:H12:I12:J12:K12, 0))</f>
        <v/>
      </c>
    </row>
    <row r="13" spans="1:12" x14ac:dyDescent="0.25">
      <c r="A13" s="45" t="str">
        <f>IF(Risk_Scenarios!I13="","",Risk_Scenarios!I13)</f>
        <v/>
      </c>
      <c r="B13" s="55" t="str">
        <f>IF(Risk_Scenarios!B13="","",Risk_Scenarios!B13)</f>
        <v/>
      </c>
      <c r="L13" s="45" t="str">
        <f>IF(OR(E13="",F13="",G13="",H13="",I13="",J13="",K13=""), "",MAX(E13:F13:G13:H13:I13:J13:K13, 0))</f>
        <v/>
      </c>
    </row>
    <row r="14" spans="1:12" x14ac:dyDescent="0.25">
      <c r="A14" s="45" t="str">
        <f>IF(Risk_Scenarios!I14="","",Risk_Scenarios!I14)</f>
        <v/>
      </c>
      <c r="B14" s="55" t="str">
        <f>IF(Risk_Scenarios!B14="","",Risk_Scenarios!B14)</f>
        <v/>
      </c>
      <c r="L14" s="45" t="str">
        <f>IF(OR(E14="",F14="",G14="",H14="",I14="",J14="",K14=""), "",MAX(E14:F14:G14:H14:I14:J14:K14, 0))</f>
        <v/>
      </c>
    </row>
    <row r="15" spans="1:12" x14ac:dyDescent="0.25">
      <c r="A15" s="45" t="str">
        <f>IF(Risk_Scenarios!I15="","",Risk_Scenarios!I15)</f>
        <v/>
      </c>
      <c r="B15" s="55" t="str">
        <f>IF(Risk_Scenarios!B15="","",Risk_Scenarios!B15)</f>
        <v/>
      </c>
      <c r="L15" s="45" t="str">
        <f>IF(OR(E15="",F15="",G15="",H15="",I15="",J15="",K15=""), "",MAX(E15:F15:G15:H15:I15:J15:K15, 0))</f>
        <v/>
      </c>
    </row>
    <row r="16" spans="1:12" x14ac:dyDescent="0.25">
      <c r="A16" s="45" t="str">
        <f>IF(Risk_Scenarios!I16="","",Risk_Scenarios!I16)</f>
        <v/>
      </c>
      <c r="B16" s="55" t="str">
        <f>IF(Risk_Scenarios!B16="","",Risk_Scenarios!B16)</f>
        <v/>
      </c>
      <c r="L16" s="45" t="str">
        <f>IF(OR(E16="",F16="",G16="",H16="",I16="",J16="",K16=""), "",MAX(E16:F16:G16:H16:I16:J16:K16, 0))</f>
        <v/>
      </c>
    </row>
    <row r="17" spans="1:12" x14ac:dyDescent="0.25">
      <c r="A17" s="45" t="str">
        <f>IF(Risk_Scenarios!I17="","",Risk_Scenarios!I17)</f>
        <v/>
      </c>
      <c r="B17" s="55" t="str">
        <f>IF(Risk_Scenarios!B17="","",Risk_Scenarios!B17)</f>
        <v/>
      </c>
      <c r="L17" s="45" t="str">
        <f>IF(OR(E17="",F17="",G17="",H17="",I17="",J17="",K17=""), "",MAX(E17:F17:G17:H17:I17:J17:K17, 0))</f>
        <v/>
      </c>
    </row>
    <row r="18" spans="1:12" x14ac:dyDescent="0.25">
      <c r="A18" s="45" t="str">
        <f>IF(Risk_Scenarios!I18="","",Risk_Scenarios!I18)</f>
        <v/>
      </c>
      <c r="B18" s="55" t="str">
        <f>IF(Risk_Scenarios!B18="","",Risk_Scenarios!B18)</f>
        <v/>
      </c>
      <c r="L18" s="45" t="str">
        <f>IF(OR(E18="",F18="",G18="",H18="",I18="",J18="",K18=""), "",MAX(E18:F18:G18:H18:I18:J18:K18, 0))</f>
        <v/>
      </c>
    </row>
    <row r="19" spans="1:12" x14ac:dyDescent="0.25">
      <c r="A19" s="45" t="str">
        <f>IF(Risk_Scenarios!I19="","",Risk_Scenarios!I19)</f>
        <v/>
      </c>
      <c r="B19" s="55" t="str">
        <f>IF(Risk_Scenarios!B19="","",Risk_Scenarios!B19)</f>
        <v/>
      </c>
      <c r="L19" s="45" t="str">
        <f>IF(OR(E19="",F19="",G19="",H19="",I19="",J19="",K19=""), "",MAX(E19:F19:G19:H19:I19:J19:K19, 0))</f>
        <v/>
      </c>
    </row>
    <row r="20" spans="1:12" x14ac:dyDescent="0.25">
      <c r="A20" s="45" t="str">
        <f>IF(Risk_Scenarios!I20="","",Risk_Scenarios!I20)</f>
        <v/>
      </c>
      <c r="B20" s="55" t="str">
        <f>IF(Risk_Scenarios!B20="","",Risk_Scenarios!B20)</f>
        <v/>
      </c>
      <c r="L20" s="45" t="str">
        <f>IF(OR(E20="",F20="",G20="",H20="",I20="",J20="",K20=""), "",MAX(E20:F20:G20:H20:I20:J20:K20, 0))</f>
        <v/>
      </c>
    </row>
    <row r="21" spans="1:12" x14ac:dyDescent="0.25">
      <c r="A21" s="45" t="str">
        <f>IF(Risk_Scenarios!I21="","",Risk_Scenarios!I21)</f>
        <v/>
      </c>
      <c r="B21" s="55" t="str">
        <f>IF(Risk_Scenarios!B21="","",Risk_Scenarios!B21)</f>
        <v/>
      </c>
      <c r="L21" s="45" t="str">
        <f>IF(OR(E21="",F21="",G21="",H21="",I21="",J21="",K21=""), "",MAX(E21:F21:G21:H21:I21:J21:K21, 0))</f>
        <v/>
      </c>
    </row>
    <row r="22" spans="1:12" x14ac:dyDescent="0.25">
      <c r="A22" s="45" t="str">
        <f>IF(Risk_Scenarios!I22="","",Risk_Scenarios!I22)</f>
        <v/>
      </c>
      <c r="B22" s="55" t="str">
        <f>IF(Risk_Scenarios!B22="","",Risk_Scenarios!B22)</f>
        <v/>
      </c>
      <c r="L22" s="45" t="str">
        <f>IF(OR(E22="",F22="",G22="",H22="",I22="",J22="",K22=""), "",MAX(E22:F22:G22:H22:I22:J22:K22, 0))</f>
        <v/>
      </c>
    </row>
    <row r="23" spans="1:12" x14ac:dyDescent="0.25">
      <c r="A23" s="45" t="str">
        <f>IF(Risk_Scenarios!I23="","",Risk_Scenarios!I23)</f>
        <v/>
      </c>
      <c r="B23" s="55" t="str">
        <f>IF(Risk_Scenarios!B23="","",Risk_Scenarios!B23)</f>
        <v/>
      </c>
      <c r="L23" s="45" t="str">
        <f>IF(OR(E23="",F23="",G23="",H23="",I23="",J23="",K23=""), "",MAX(E23:F23:G23:H23:I23:J23:K23, 0))</f>
        <v/>
      </c>
    </row>
    <row r="24" spans="1:12" x14ac:dyDescent="0.25">
      <c r="A24" s="45" t="str">
        <f>IF(Risk_Scenarios!I24="","",Risk_Scenarios!I24)</f>
        <v/>
      </c>
      <c r="B24" s="55" t="str">
        <f>IF(Risk_Scenarios!B24="","",Risk_Scenarios!B24)</f>
        <v/>
      </c>
      <c r="L24" s="45" t="str">
        <f>IF(OR(E24="",F24="",G24="",H24="",I24="",J24="",K24=""), "",MAX(E24:F24:G24:H24:I24:J24:K24, 0))</f>
        <v/>
      </c>
    </row>
    <row r="25" spans="1:12" x14ac:dyDescent="0.25">
      <c r="A25" s="45" t="str">
        <f>IF(Risk_Scenarios!I25="","",Risk_Scenarios!I25)</f>
        <v/>
      </c>
      <c r="B25" s="55" t="str">
        <f>IF(Risk_Scenarios!B25="","",Risk_Scenarios!B25)</f>
        <v/>
      </c>
      <c r="L25" s="45" t="str">
        <f>IF(OR(E25="",F25="",G25="",H25="",I25="",J25="",K25=""), "",MAX(E25:F25:G25:H25:I25:J25:K25, 0))</f>
        <v/>
      </c>
    </row>
    <row r="26" spans="1:12" x14ac:dyDescent="0.25">
      <c r="A26" s="45" t="str">
        <f>IF(Risk_Scenarios!I26="","",Risk_Scenarios!I26)</f>
        <v/>
      </c>
      <c r="B26" s="55" t="str">
        <f>IF(Risk_Scenarios!B26="","",Risk_Scenarios!B26)</f>
        <v/>
      </c>
      <c r="L26" s="45" t="str">
        <f>IF(OR(E26="",F26="",G26="",H26="",I26="",J26="",K26=""), "",MAX(E26:F26:G26:H26:I26:J26:K26, 0))</f>
        <v/>
      </c>
    </row>
    <row r="27" spans="1:12" x14ac:dyDescent="0.25">
      <c r="A27" s="45" t="str">
        <f>IF(Risk_Scenarios!I27="","",Risk_Scenarios!I27)</f>
        <v/>
      </c>
      <c r="B27" s="55" t="str">
        <f>IF(Risk_Scenarios!B27="","",Risk_Scenarios!B27)</f>
        <v/>
      </c>
      <c r="L27" s="45" t="str">
        <f>IF(OR(E27="",F27="",G27="",H27="",I27="",J27="",K27=""), "",MAX(E27:F27:G27:H27:I27:J27:K27, 0))</f>
        <v/>
      </c>
    </row>
    <row r="28" spans="1:12" x14ac:dyDescent="0.25">
      <c r="A28" s="45" t="str">
        <f>IF(Risk_Scenarios!I28="","",Risk_Scenarios!I28)</f>
        <v/>
      </c>
      <c r="B28" s="55" t="str">
        <f>IF(Risk_Scenarios!B28="","",Risk_Scenarios!B28)</f>
        <v/>
      </c>
      <c r="L28" s="45" t="str">
        <f>IF(OR(E28="",F28="",G28="",H28="",I28="",J28="",K28=""), "",MAX(E28:F28:G28:H28:I28:J28:K28, 0))</f>
        <v/>
      </c>
    </row>
    <row r="29" spans="1:12" x14ac:dyDescent="0.25">
      <c r="A29" s="45" t="str">
        <f>IF(Risk_Scenarios!I29="","",Risk_Scenarios!I29)</f>
        <v/>
      </c>
      <c r="B29" s="55" t="str">
        <f>IF(Risk_Scenarios!B29="","",Risk_Scenarios!B29)</f>
        <v/>
      </c>
      <c r="L29" s="45" t="str">
        <f>IF(OR(E29="",F29="",G29="",H29="",I29="",J29="",K29=""), "",MAX(E29:F29:G29:H29:I29:J29:K29, 0))</f>
        <v/>
      </c>
    </row>
    <row r="30" spans="1:12" x14ac:dyDescent="0.25">
      <c r="A30" s="45" t="str">
        <f>IF(Risk_Scenarios!I30="","",Risk_Scenarios!I30)</f>
        <v/>
      </c>
      <c r="B30" s="55" t="str">
        <f>IF(Risk_Scenarios!B30="","",Risk_Scenarios!B30)</f>
        <v/>
      </c>
      <c r="L30" s="45" t="str">
        <f>IF(OR(E30="",F30="",G30="",H30="",I30="",J30="",K30=""), "",MAX(E30:F30:G30:H30:I30:J30:K30, 0))</f>
        <v/>
      </c>
    </row>
    <row r="31" spans="1:12" x14ac:dyDescent="0.25">
      <c r="A31" s="45" t="str">
        <f>IF(Risk_Scenarios!I31="","",Risk_Scenarios!I31)</f>
        <v/>
      </c>
      <c r="B31" s="55" t="str">
        <f>IF(Risk_Scenarios!B31="","",Risk_Scenarios!B31)</f>
        <v/>
      </c>
      <c r="L31" s="45" t="str">
        <f>IF(OR(E31="",F31="",G31="",H31="",I31="",J31="",K31=""), "",MAX(E31:F31:G31:H31:I31:J31:K31, 0))</f>
        <v/>
      </c>
    </row>
    <row r="32" spans="1:12" x14ac:dyDescent="0.25">
      <c r="L32" s="45" t="str">
        <f>IF(OR(E32="",F32="",G32="",H32="",I32="",J32="",K32=""), "",MAX(E32:F32:G32:H32:I32:J32:K32, 0))</f>
        <v/>
      </c>
    </row>
    <row r="33" spans="12:12" x14ac:dyDescent="0.25">
      <c r="L33" s="45" t="str">
        <f>IF(OR(E33="",F33="",G33="",H33="",I33="",J33="",K33=""), "",MAX(E33:F33:G33:H33:I33:J33:K33, 0))</f>
        <v/>
      </c>
    </row>
    <row r="34" spans="12:12" x14ac:dyDescent="0.25">
      <c r="L34" s="45" t="str">
        <f>IF(OR(E34="",F34="",G34="",H34="",I34="",J34="",K34=""), "",MAX(E34:F34:G34:H34:I34:J34:K34, 0))</f>
        <v/>
      </c>
    </row>
    <row r="35" spans="12:12" x14ac:dyDescent="0.25">
      <c r="L35" s="45" t="str">
        <f>IF(OR(E35="",F35="",G35="",H35="",I35="",J35="",K35=""), "",MAX(E35:F35:G35:H35:I35:J35:K35, 0))</f>
        <v/>
      </c>
    </row>
    <row r="36" spans="12:12" x14ac:dyDescent="0.25">
      <c r="L36" s="45" t="str">
        <f>IF(OR(E36="",F36="",G36="",H36="",I36="",J36="",K36=""), "",MAX(E36:F36:G36:H36:I36:J36:K36, 0))</f>
        <v/>
      </c>
    </row>
    <row r="37" spans="12:12" x14ac:dyDescent="0.25">
      <c r="L37" s="45" t="str">
        <f>IF(OR(E37="",F37="",G37="",H37="",I37="",J37="",K37=""), "",MAX(E37:F37:G37:H37:I37:J37:K37, 0))</f>
        <v/>
      </c>
    </row>
    <row r="38" spans="12:12" x14ac:dyDescent="0.25">
      <c r="L38" s="45" t="str">
        <f>IF(OR(E38="",F38="",G38="",H38="",I38="",J38="",K38=""), "",MAX(E38:F38:G38:H38:I38:J38:K38, 0))</f>
        <v/>
      </c>
    </row>
    <row r="39" spans="12:12" x14ac:dyDescent="0.25">
      <c r="L39" s="45" t="str">
        <f>IF(OR(E39="",F39="",G39="",H39="",I39="",J39="",K39=""), "",MAX(E39:F39:G39:H39:I39:J39:K39, 0))</f>
        <v/>
      </c>
    </row>
    <row r="40" spans="12:12" x14ac:dyDescent="0.25">
      <c r="L40" s="45" t="str">
        <f>IF(OR(E40="",F40="",G40="",H40="",I40="",J40="",K40=""), "",MAX(E40:F40:G40:H40:I40:J40:K40, 0))</f>
        <v/>
      </c>
    </row>
    <row r="41" spans="12:12" x14ac:dyDescent="0.25">
      <c r="L41" s="45" t="str">
        <f>IF(OR(E41="",F41="",G41="",H41="",I41="",J41="",K41=""), "",MAX(E41:F41:G41:H41:I41:J41:K41, 0))</f>
        <v/>
      </c>
    </row>
    <row r="42" spans="12:12" x14ac:dyDescent="0.25">
      <c r="L42" s="45" t="str">
        <f>IF(OR(E42="",F42="",G42="",H42="",I42="",J42="",K42=""), "",MAX(E42:F42:G42:H42:I42:J42:K42, 0))</f>
        <v/>
      </c>
    </row>
    <row r="43" spans="12:12" x14ac:dyDescent="0.25">
      <c r="L43" s="45" t="str">
        <f>IF(OR(E43="",F43="",G43="",H43="",I43="",J43="",K43=""), "",MAX(E43:F43:G43:H43:I43:J43:K43, 0))</f>
        <v/>
      </c>
    </row>
    <row r="44" spans="12:12" x14ac:dyDescent="0.25">
      <c r="L44" s="45" t="str">
        <f>IF(OR(E44="",F44="",G44="",H44="",I44="",J44="",K44=""), "",MAX(E44:F44:G44:H44:I44:J44:K44, 0))</f>
        <v/>
      </c>
    </row>
    <row r="45" spans="12:12" x14ac:dyDescent="0.25">
      <c r="L45" s="45" t="str">
        <f>IF(OR(E45="",F45="",G48="",H45="",I45="",J45="",K45=""), "",MAX(E45:F45:G45:H45:I45:J45:K45, 0))</f>
        <v/>
      </c>
    </row>
    <row r="46" spans="12:12" x14ac:dyDescent="0.25">
      <c r="L46" s="45" t="str">
        <f>IF(OR(E46="",F46="",G49="",H46="",I46="",J46="",K46=""), "",MAX(E46:F46:G46:H46:I46:J46:K46, 0))</f>
        <v/>
      </c>
    </row>
    <row r="47" spans="12:12" x14ac:dyDescent="0.25">
      <c r="L47" s="45" t="str">
        <f>IF(OR(E47="",F47="",G50="",H47="",I47="",J47="",K47=""), "",MAX(E47:F47:G47:H47:I47:J47:K47, 0))</f>
        <v/>
      </c>
    </row>
    <row r="48" spans="12:12" x14ac:dyDescent="0.25">
      <c r="L48" s="45" t="str">
        <f>IF(OR(E48="",F48="",G51="",H48="",I48="",J48="",K48=""), "",MAX(E48:F48:G48:H48:I48:J48:K48, 0))</f>
        <v/>
      </c>
    </row>
    <row r="49" spans="12:12" x14ac:dyDescent="0.25">
      <c r="L49" s="45" t="str">
        <f>IF(OR(E49="",F49="",G52="",H49="",I49="",J49="",K49=""), "",MAX(E49:F49:G49:H49:I49:J49:K49, 0))</f>
        <v/>
      </c>
    </row>
    <row r="50" spans="12:12" x14ac:dyDescent="0.25">
      <c r="L50" s="45" t="str">
        <f>IF(OR(E50="",F50="",G53="",H50="",I50="",J50="",K50=""), "",MAX(E50:F50:G50:H50:I50:J50:K50, 0))</f>
        <v/>
      </c>
    </row>
    <row r="51" spans="12:12" x14ac:dyDescent="0.25">
      <c r="L51" s="45" t="str">
        <f>IF(OR(E51="",F51="",G54="",H51="",I51="",J51="",K51=""), "",MAX(E51:F51:G51:H51:I51:J51:K51, 0))</f>
        <v/>
      </c>
    </row>
    <row r="52" spans="12:12" x14ac:dyDescent="0.25">
      <c r="L52" s="45" t="str">
        <f>IF(OR(E52="",F52="",G55="",H52="",I52="",J52="",K52=""), "",MAX(E52:F52:G52:H52:I52:J52:K52, 0))</f>
        <v/>
      </c>
    </row>
    <row r="53" spans="12:12" x14ac:dyDescent="0.25">
      <c r="L53" s="45" t="str">
        <f>IF(OR(E53="",F53="",G56="",H53="",I53="",J53="",K53=""), "",MAX(E53:F53:G53:H53:I53:J53:K53, 0))</f>
        <v/>
      </c>
    </row>
    <row r="54" spans="12:12" x14ac:dyDescent="0.25">
      <c r="L54" s="45" t="str">
        <f>IF(OR(E54="",F54="",G57="",H54="",I54="",J54="",K54=""), "",MAX(E54:F54:G54:H54:I54:J54:K54, 0))</f>
        <v/>
      </c>
    </row>
    <row r="55" spans="12:12" x14ac:dyDescent="0.25">
      <c r="L55" s="45" t="str">
        <f>IF(OR(E55="",F55="",G58="",H55="",I55="",J55="",K55=""), "",MAX(E55:F55:G55:H55:I55:J55:K55, 0))</f>
        <v/>
      </c>
    </row>
    <row r="56" spans="12:12" x14ac:dyDescent="0.25">
      <c r="L56" s="45" t="str">
        <f>IF(OR(E56="",F56="",G59="",H56="",I56="",J56="",K56=""), "",MAX(E56:F56:G56:H56:I56:J56:K56, 0))</f>
        <v/>
      </c>
    </row>
    <row r="57" spans="12:12" x14ac:dyDescent="0.25">
      <c r="L57" s="45" t="str">
        <f>IF(OR(E57="",F57="",G60="",H57="",I57="",J57="",K57=""), "",MAX(E57:F57:G57:H57:I57:J57:K57, 0))</f>
        <v/>
      </c>
    </row>
    <row r="58" spans="12:12" x14ac:dyDescent="0.25">
      <c r="L58" s="45" t="str">
        <f>IF(OR(E58="",F58="",G61="",H58="",I58="",J58="",K58=""), "",MAX(E58:F58:G58:H58:I58:J58:K58, 0))</f>
        <v/>
      </c>
    </row>
    <row r="59" spans="12:12" x14ac:dyDescent="0.25">
      <c r="L59" s="45" t="str">
        <f>IF(OR(E59="",F59="",G62="",H59="",I59="",J59="",K59=""), "",MAX(E59:F59:G59:H59:I59:J59:K59, 0))</f>
        <v/>
      </c>
    </row>
    <row r="60" spans="12:12" x14ac:dyDescent="0.25">
      <c r="L60" s="45" t="str">
        <f>IF(OR(E60="",F60="",G63="",H60="",I60="",J60="",K60=""), "",MAX(E60:F60:G60:H60:I60:J60:K60, 0))</f>
        <v/>
      </c>
    </row>
    <row r="61" spans="12:12" x14ac:dyDescent="0.25">
      <c r="L61" s="45" t="str">
        <f>IF(OR(E61="",F61="",G64="",H61="",I61="",J61="",K61=""), "",MAX(E61:F61:G61:H61:I61:J61:K61, 0))</f>
        <v/>
      </c>
    </row>
    <row r="62" spans="12:12" x14ac:dyDescent="0.25">
      <c r="L62" s="45" t="str">
        <f>IF(OR(E62="",F62="",G65="",H62="",I62="",J62="",K62=""), "",MAX(E62:F62:G62:H62:I62:J62:K62, 0))</f>
        <v/>
      </c>
    </row>
    <row r="63" spans="12:12" x14ac:dyDescent="0.25">
      <c r="L63" s="45" t="str">
        <f>IF(OR(E63="",F63="",G66="",H63="",I63="",J63="",K63=""), "",MAX(E63:F63:G63:H63:I63:J63:K63, 0))</f>
        <v/>
      </c>
    </row>
    <row r="64" spans="12:12" x14ac:dyDescent="0.25">
      <c r="L64" s="45" t="str">
        <f>IF(OR(E64="",F64="",G67="",H64="",I64="",J64="",K64=""), "",MAX(E64:F64:G64:H64:I64:J64:K64, 0))</f>
        <v/>
      </c>
    </row>
    <row r="65" spans="12:12" x14ac:dyDescent="0.25">
      <c r="L65" s="45" t="str">
        <f>IF(OR(E65="",F65="",G68="",H65="",I65="",J65="",K65=""), "",MAX(E65:F65:G65:H65:I65:J65:K65, 0))</f>
        <v/>
      </c>
    </row>
    <row r="66" spans="12:12" x14ac:dyDescent="0.25">
      <c r="L66" s="45" t="str">
        <f>IF(OR(E66="",F66="",G69="",H66="",I66="",J66="",K66=""), "",MAX(E66:F66:G66:H66:I66:J66:K66, 0))</f>
        <v/>
      </c>
    </row>
    <row r="67" spans="12:12" x14ac:dyDescent="0.25">
      <c r="L67" s="45" t="str">
        <f>IF(OR(E67="",F67="",G70="",H67="",I67="",J67="",K67=""), "",MAX(E67:F67:G67:H67:I67:J67:K67, 0))</f>
        <v/>
      </c>
    </row>
    <row r="68" spans="12:12" x14ac:dyDescent="0.25">
      <c r="L68" s="45" t="str">
        <f>IF(OR(E68="",F68="",G71="",H68="",I68="",J68="",K68=""), "",MAX(E68:F68:G68:H68:I68:J68:K68, 0))</f>
        <v/>
      </c>
    </row>
    <row r="69" spans="12:12" x14ac:dyDescent="0.25">
      <c r="L69" s="45" t="str">
        <f>IF(OR(E69="",F69="",G72="",H69="",I69="",J69="",K69=""), "",MAX(E69:F69:G69:H69:I69:J69:K69, 0))</f>
        <v/>
      </c>
    </row>
    <row r="70" spans="12:12" x14ac:dyDescent="0.25">
      <c r="L70" s="45" t="str">
        <f>IF(OR(E70="",F70="",G73="",H70="",I70="",J70="",K70=""), "",MAX(E70:F70:G70:H70:I70:J70:K70, 0))</f>
        <v/>
      </c>
    </row>
    <row r="71" spans="12:12" x14ac:dyDescent="0.25">
      <c r="L71" s="45" t="str">
        <f>IF(OR(E71="",F71="",G74="",H71="",I71="",J71="",K71=""), "",MAX(E71:F71:G71:H71:I71:J71:K71, 0))</f>
        <v/>
      </c>
    </row>
    <row r="72" spans="12:12" x14ac:dyDescent="0.25">
      <c r="L72" s="45" t="str">
        <f>IF(OR(E72="",F72="",G75="",H72="",I72="",J72="",K72=""), "",MAX(E72:F72:G72:H72:I72:J72:K72, 0))</f>
        <v/>
      </c>
    </row>
    <row r="73" spans="12:12" x14ac:dyDescent="0.25">
      <c r="L73" s="45" t="str">
        <f>IF(OR(E73="",F73="",G76="",H73="",I73="",J73="",K73=""), "",MAX(E73:F73:G73:H73:I73:J73:K73, 0))</f>
        <v/>
      </c>
    </row>
    <row r="74" spans="12:12" x14ac:dyDescent="0.25">
      <c r="L74" s="45" t="str">
        <f>IF(OR(E74="",F74="",G77="",H74="",I74="",J74="",K74=""), "",MAX(E74:F74:G74:H74:I74:J74:K74, 0))</f>
        <v/>
      </c>
    </row>
    <row r="75" spans="12:12" x14ac:dyDescent="0.25">
      <c r="L75" s="45" t="str">
        <f>IF(OR(E75="",F75="",G78="",H75="",I75="",J75="",K75=""), "",MAX(E75:F75:G75:H75:I75:J75:K75, 0))</f>
        <v/>
      </c>
    </row>
    <row r="76" spans="12:12" x14ac:dyDescent="0.25">
      <c r="L76" s="45" t="str">
        <f>IF(OR(E76="",F76="",G79="",H76="",I76="",J76="",K76=""), "",MAX(E76:F76:G76:H76:I76:J76:K76, 0))</f>
        <v/>
      </c>
    </row>
    <row r="77" spans="12:12" x14ac:dyDescent="0.25">
      <c r="L77" s="45" t="str">
        <f>IF(OR(E77="",F77="",G80="",H77="",I77="",J77="",K77=""), "",MAX(E77:F77:G77:H77:I77:J77:K77, 0))</f>
        <v/>
      </c>
    </row>
    <row r="78" spans="12:12" x14ac:dyDescent="0.25">
      <c r="L78" s="45" t="str">
        <f>IF(OR(E78="",F78="",G81="",H78="",I78="",J78="",K78=""), "",MAX(E78:F78:G78:H78:I78:J78:K78, 0))</f>
        <v/>
      </c>
    </row>
    <row r="79" spans="12:12" x14ac:dyDescent="0.25">
      <c r="L79" s="45" t="str">
        <f>IF(OR(E79="",F79="",G82="",H79="",I79="",J79="",K79=""), "",MAX(E79:F79:G79:H79:I79:J79:K79, 0))</f>
        <v/>
      </c>
    </row>
    <row r="80" spans="12:12" x14ac:dyDescent="0.25">
      <c r="L80" s="45" t="str">
        <f>IF(OR(E80="",F80="",G83="",H80="",I80="",J80="",K80=""), "",MAX(E80:F80:G80:H80:I80:J80:K80, 0))</f>
        <v/>
      </c>
    </row>
    <row r="81" spans="12:12" x14ac:dyDescent="0.25">
      <c r="L81" s="45" t="str">
        <f>IF(OR(E81="",F81="",G84="",H81="",I81="",J81="",K81=""), "",MAX(E81:F81:G81:H81:I81:J81:K81, 0))</f>
        <v/>
      </c>
    </row>
    <row r="82" spans="12:12" x14ac:dyDescent="0.25">
      <c r="L82" s="45" t="str">
        <f>IF(OR(E82="",F82="",G85="",H82="",I82="",J82="",K82=""), "",MAX(E82:F82:G82:H82:I82:J82:K82, 0))</f>
        <v/>
      </c>
    </row>
    <row r="83" spans="12:12" x14ac:dyDescent="0.25">
      <c r="L83" s="45" t="str">
        <f>IF(OR(E83="",F83="",G86="",H83="",I83="",J83="",K83=""), "",MAX(E83:F83:G83:H83:I83:J83:K83, 0))</f>
        <v/>
      </c>
    </row>
    <row r="84" spans="12:12" x14ac:dyDescent="0.25">
      <c r="L84" s="45" t="str">
        <f>IF(OR(E84="",F84="",G87="",H84="",I84="",J84="",K84=""), "",MAX(E84:F84:G84:H84:I84:J84:K84, 0))</f>
        <v/>
      </c>
    </row>
    <row r="85" spans="12:12" x14ac:dyDescent="0.25">
      <c r="L85" s="45" t="str">
        <f>IF(OR(E85="",F85="",G88="",H85="",I85="",J85="",K85=""), "",MAX(E85:F85:G85:H85:I85:J85:K85, 0))</f>
        <v/>
      </c>
    </row>
    <row r="86" spans="12:12" x14ac:dyDescent="0.25">
      <c r="L86" s="45" t="str">
        <f>IF(OR(E86="",F86="",G89="",H86="",I86="",J86="",K86=""), "",MAX(E86:F86:G86:H86:I86:J86:K86, 0))</f>
        <v/>
      </c>
    </row>
    <row r="87" spans="12:12" x14ac:dyDescent="0.25">
      <c r="L87" s="45" t="str">
        <f>IF(OR(E87="",F87="",G90="",H87="",I87="",J87="",K87=""), "",MAX(E87:F87:G87:H87:I87:J87:K87, 0))</f>
        <v/>
      </c>
    </row>
    <row r="88" spans="12:12" x14ac:dyDescent="0.25">
      <c r="L88" s="45" t="str">
        <f>IF(OR(E88="",F88="",G91="",H88="",I88="",J88="",K88=""), "",MAX(E88:F88:G88:H88:I88:J88:K88, 0))</f>
        <v/>
      </c>
    </row>
    <row r="89" spans="12:12" x14ac:dyDescent="0.25">
      <c r="L89" s="45" t="str">
        <f>IF(OR(E89="",F89="",G92="",H89="",I89="",J89="",K89=""), "",MAX(E89:F89:G89:H89:I89:J89:K89, 0))</f>
        <v/>
      </c>
    </row>
    <row r="90" spans="12:12" x14ac:dyDescent="0.25">
      <c r="L90" s="45" t="str">
        <f>IF(OR(E90="",F90="",G93="",H90="",I90="",J90="",K90=""), "",MAX(E90:F90:G90:H90:I90:J90:K90, 0))</f>
        <v/>
      </c>
    </row>
    <row r="91" spans="12:12" x14ac:dyDescent="0.25">
      <c r="L91" s="45" t="str">
        <f>IF(OR(E91="",F91="",G94="",H91="",I91="",J91="",K91=""), "",MAX(E91:F91:G91:H91:I91:J91:K91, 0))</f>
        <v/>
      </c>
    </row>
    <row r="92" spans="12:12" x14ac:dyDescent="0.25">
      <c r="L92" s="45" t="str">
        <f>IF(OR(E92="",F92="",G95="",H92="",I92="",J92="",K92=""), "",MAX(E92:F92:G92:H92:I92:J92:K92, 0))</f>
        <v/>
      </c>
    </row>
    <row r="93" spans="12:12" x14ac:dyDescent="0.25">
      <c r="L93" s="45" t="str">
        <f>IF(OR(E93="",F93="",G96="",H93="",I93="",J93="",K93=""), "",MAX(E93:F93:G93:H93:I93:J93:K93, 0))</f>
        <v/>
      </c>
    </row>
    <row r="94" spans="12:12" x14ac:dyDescent="0.25">
      <c r="L94" s="45" t="str">
        <f>IF(OR(E94="",F94="",G97="",H94="",I94="",J94="",K94=""), "",MAX(E94:F94:G94:H94:I94:J94:K94, 0))</f>
        <v/>
      </c>
    </row>
    <row r="95" spans="12:12" x14ac:dyDescent="0.25">
      <c r="L95" s="45" t="str">
        <f>IF(OR(E95="",F95="",G98="",H95="",I95="",J95="",K95=""), "",MAX(E95:F95:G95:H95:I95:J95:K95, 0))</f>
        <v/>
      </c>
    </row>
    <row r="96" spans="12:12" x14ac:dyDescent="0.25">
      <c r="L96" s="45" t="str">
        <f>IF(OR(E96="",F96="",G99="",H96="",I96="",J96="",K96=""), "",MAX(E96:F96:G96:H96:I96:J96:K96, 0))</f>
        <v/>
      </c>
    </row>
    <row r="97" spans="12:12" x14ac:dyDescent="0.25">
      <c r="L97" s="45" t="str">
        <f>IF(OR(E97="",F97="",G100="",H97="",I97="",J97="",K97=""), "",MAX(E97:F97:G97:H97:I97:J97:K97, 0))</f>
        <v/>
      </c>
    </row>
    <row r="98" spans="12:12" x14ac:dyDescent="0.25">
      <c r="L98" s="45" t="str">
        <f>IF(OR(E98="",F98="",G101="",H98="",I98="",J98="",K98=""), "",MAX(E98:F98:G98:H98:I98:J98:K98, 0))</f>
        <v/>
      </c>
    </row>
    <row r="99" spans="12:12" x14ac:dyDescent="0.25">
      <c r="L99" s="45" t="str">
        <f>IF(OR(E99="",F99="",G102="",H99="",I99="",J99="",K99=""), "",MAX(E99:F99:G99:H99:I99:J99:K99, 0))</f>
        <v/>
      </c>
    </row>
    <row r="100" spans="12:12" x14ac:dyDescent="0.25">
      <c r="L100" s="45" t="str">
        <f>IF(OR(E100="",F100="",G103="",H100="",I100="",J100="",K100=""), "",MAX(E100:F100:G100:H100:I100:J100:K100, 0))</f>
        <v/>
      </c>
    </row>
    <row r="101" spans="12:12" x14ac:dyDescent="0.25">
      <c r="L101" s="45" t="str">
        <f>IF(OR(E101="",F101="",G104="",H101="",I101="",J101="",K101=""), "",MAX(E101:F101:G101:H101:I101:J101:K101, 0))</f>
        <v/>
      </c>
    </row>
    <row r="102" spans="12:12" x14ac:dyDescent="0.25">
      <c r="L102" s="45" t="str">
        <f>IF(OR(E102="",F102="",G105="",H102="",I102="",J102="",K102=""), "",MAX(E102:F102:G102:H102:I102:J102:K102, 0))</f>
        <v/>
      </c>
    </row>
    <row r="103" spans="12:12" x14ac:dyDescent="0.25">
      <c r="L103" s="45" t="str">
        <f>IF(OR(E103="",F103="",G106="",H103="",I103="",J103="",K103=""), "",MAX(E103:F103:G103:H103:I103:J103:K103, 0))</f>
        <v/>
      </c>
    </row>
    <row r="104" spans="12:12" x14ac:dyDescent="0.25">
      <c r="L104" s="45" t="str">
        <f>IF(OR(E104="",F104="",G107="",H104="",I104="",J104="",K104=""), "",MAX(E104:F104:G104:H104:I104:J104:K104, 0))</f>
        <v/>
      </c>
    </row>
    <row r="105" spans="12:12" x14ac:dyDescent="0.25">
      <c r="L105" s="45" t="str">
        <f>IF(OR(E105="",F105="",G108="",H105="",I105="",J105="",K105=""), "",MAX(E105:F105:G105:H105:I105:J105:K105, 0))</f>
        <v/>
      </c>
    </row>
    <row r="106" spans="12:12" x14ac:dyDescent="0.25">
      <c r="L106" s="45" t="str">
        <f>IF(OR(E106="",F106="",G109="",H106="",I106="",J106="",K106=""), "",MAX(E106:F106:G106:H106:I106:J106:K106, 0))</f>
        <v/>
      </c>
    </row>
    <row r="107" spans="12:12" x14ac:dyDescent="0.25">
      <c r="L107" s="45" t="str">
        <f>IF(OR(E107="",F107="",G110="",H107="",I107="",J107="",K107=""), "",MAX(E107:F107:G107:H107:I107:J107:K107, 0))</f>
        <v/>
      </c>
    </row>
    <row r="108" spans="12:12" x14ac:dyDescent="0.25">
      <c r="L108" s="45" t="str">
        <f>IF(OR(E108="",F108="",G111="",H108="",I108="",J108="",K108=""), "",MAX(E108:F108:G108:H108:I108:J108:K108, 0))</f>
        <v/>
      </c>
    </row>
    <row r="109" spans="12:12" x14ac:dyDescent="0.25">
      <c r="L109" s="45" t="str">
        <f>IF(OR(E109="",F109="",G112="",H109="",I109="",J109="",K109=""), "",MAX(E109:F109:G109:H109:I109:J109:K109, 0))</f>
        <v/>
      </c>
    </row>
    <row r="110" spans="12:12" x14ac:dyDescent="0.25">
      <c r="L110" s="45" t="str">
        <f>IF(OR(E110="",F110="",G113="",H110="",I110="",J110="",K110=""), "",MAX(E110:F110:G110:H110:I110:J110:K110, 0))</f>
        <v/>
      </c>
    </row>
    <row r="111" spans="12:12" x14ac:dyDescent="0.25">
      <c r="L111" s="45" t="str">
        <f>IF(OR(E111="",F111="",G114="",H111="",I111="",J111="",K111=""), "",MAX(E111:F111:G111:H111:I111:J111:K111, 0))</f>
        <v/>
      </c>
    </row>
    <row r="112" spans="12:12" x14ac:dyDescent="0.25">
      <c r="L112" s="45" t="str">
        <f>IF(OR(E112="",F112="",G115="",H112="",I112="",J112="",K112=""), "",MAX(E112:F112:G112:H112:I112:J112:K112, 0))</f>
        <v/>
      </c>
    </row>
    <row r="113" spans="12:12" x14ac:dyDescent="0.25">
      <c r="L113" s="45" t="str">
        <f>IF(OR(E113="",F113="",G116="",H113="",I113="",J113="",K113=""), "",MAX(E113:F113:G113:H113:I113:J113:K113, 0))</f>
        <v/>
      </c>
    </row>
    <row r="114" spans="12:12" x14ac:dyDescent="0.25">
      <c r="L114" s="45" t="str">
        <f>IF(OR(E114="",F114="",G117="",H114="",I114="",J114="",K114=""), "",MAX(E114:F114:G114:H114:I114:J114:K114, 0))</f>
        <v/>
      </c>
    </row>
    <row r="115" spans="12:12" x14ac:dyDescent="0.25">
      <c r="L115" s="45" t="str">
        <f>IF(OR(E115="",F115="",G118="",H115="",I115="",J115="",K115=""), "",MAX(E115:F115:G115:H115:I115:J115:K115, 0))</f>
        <v/>
      </c>
    </row>
    <row r="116" spans="12:12" x14ac:dyDescent="0.25">
      <c r="L116" s="45" t="str">
        <f>IF(OR(E116="",F116="",G119="",H116="",I116="",J116="",K116=""), "",MAX(E116:F116:G116:H116:I116:J116:K116, 0))</f>
        <v/>
      </c>
    </row>
    <row r="117" spans="12:12" x14ac:dyDescent="0.25">
      <c r="L117" s="45" t="str">
        <f>IF(OR(E117="",F117="",G120="",H117="",I117="",J117="",K117=""), "",MAX(E117:F117:G117:H117:I117:J117:K117, 0))</f>
        <v/>
      </c>
    </row>
    <row r="118" spans="12:12" x14ac:dyDescent="0.25">
      <c r="L118" s="45" t="str">
        <f>IF(OR(E118="",F118="",G121="",H118="",I118="",J118="",K118=""), "",MAX(E118:F118:G118:H118:I118:J118:K118, 0))</f>
        <v/>
      </c>
    </row>
    <row r="119" spans="12:12" x14ac:dyDescent="0.25">
      <c r="L119" s="45" t="str">
        <f>IF(OR(E119="",F119="",G122="",H119="",I119="",J119="",K119=""), "",MAX(E119:F119:G119:H119:I119:J119:K119, 0))</f>
        <v/>
      </c>
    </row>
    <row r="120" spans="12:12" x14ac:dyDescent="0.25">
      <c r="L120" s="45" t="str">
        <f>IF(OR(E120="",F120="",G123="",H120="",I120="",J120="",K120=""), "",MAX(E120:F120:G120:H120:I120:J120:K120, 0))</f>
        <v/>
      </c>
    </row>
    <row r="121" spans="12:12" x14ac:dyDescent="0.25">
      <c r="L121" s="45" t="str">
        <f>IF(OR(E121="",F121="",G124="",H121="",I121="",J121="",K121=""), "",MAX(E121:F121:G121:H121:I121:J121:K121, 0))</f>
        <v/>
      </c>
    </row>
    <row r="122" spans="12:12" x14ac:dyDescent="0.25">
      <c r="L122" s="45" t="str">
        <f>IF(OR(E122="",F122="",G125="",H122="",I122="",J122="",K122=""), "",MAX(E122:F122:G122:H122:I122:J122:K122, 0))</f>
        <v/>
      </c>
    </row>
    <row r="123" spans="12:12" x14ac:dyDescent="0.25">
      <c r="L123" s="45" t="str">
        <f>IF(OR(E123="",F123="",G126="",H123="",I123="",J123="",K123=""), "",MAX(E123:F123:G123:H123:I123:J123:K123, 0))</f>
        <v/>
      </c>
    </row>
    <row r="124" spans="12:12" x14ac:dyDescent="0.25">
      <c r="L124" s="45" t="str">
        <f>IF(OR(E124="",F124="",G127="",H124="",I124="",J124="",K124=""), "",MAX(E124:F124:G124:H124:I124:J124:K124, 0))</f>
        <v/>
      </c>
    </row>
    <row r="125" spans="12:12" x14ac:dyDescent="0.25">
      <c r="L125" s="45" t="str">
        <f>IF(OR(E125="",F125="",G128="",H125="",I125="",J125="",K125=""), "",MAX(E125:F125:G125:H125:I125:J125:K125, 0))</f>
        <v/>
      </c>
    </row>
    <row r="126" spans="12:12" x14ac:dyDescent="0.25">
      <c r="L126" s="45" t="str">
        <f>IF(OR(E126="",F126="",G129="",H126="",I126="",J126="",K126=""), "",MAX(E126:F126:G126:H126:I126:J126:K126, 0))</f>
        <v/>
      </c>
    </row>
    <row r="127" spans="12:12" x14ac:dyDescent="0.25">
      <c r="L127" s="45" t="str">
        <f>IF(OR(E127="",F127="",G130="",H127="",I127="",J127="",K127=""), "",MAX(E127:F127:G127:H127:I127:J127:K127, 0))</f>
        <v/>
      </c>
    </row>
    <row r="128" spans="12:12" x14ac:dyDescent="0.25">
      <c r="L128" s="45" t="str">
        <f>IF(OR(E128="",F128="",G131="",H128="",I128="",J128="",K128=""), "",MAX(E128:F128:G128:H128:I128:J128:K128, 0))</f>
        <v/>
      </c>
    </row>
    <row r="129" spans="12:12" x14ac:dyDescent="0.25">
      <c r="L129" s="45" t="str">
        <f>IF(OR(E129="",F129="",G132="",H129="",I129="",J129="",K129=""), "",MAX(E129:F129:G129:H129:I129:J129:K129, 0))</f>
        <v/>
      </c>
    </row>
    <row r="130" spans="12:12" x14ac:dyDescent="0.25">
      <c r="L130" s="45" t="str">
        <f>IF(OR(E130="",F130="",G133="",H130="",I130="",J130="",K130=""), "",MAX(E130:F130:G130:H130:I130:J130:K130, 0))</f>
        <v/>
      </c>
    </row>
    <row r="131" spans="12:12" x14ac:dyDescent="0.25">
      <c r="L131" s="45" t="str">
        <f>IF(OR(E131="",F131="",G134="",H131="",I131="",J131="",K131=""), "",MAX(E131:F131:G131:H131:I131:J131:K131, 0))</f>
        <v/>
      </c>
    </row>
    <row r="132" spans="12:12" x14ac:dyDescent="0.25">
      <c r="L132" s="45" t="str">
        <f>IF(OR(E132="",F132="",G135="",H132="",I132="",J132="",K132=""), "",MAX(E132:F132:G132:H132:I132:J132:K132, 0))</f>
        <v/>
      </c>
    </row>
    <row r="133" spans="12:12" x14ac:dyDescent="0.25">
      <c r="L133" s="45" t="str">
        <f>IF(OR(E133="",F133="",G136="",H133="",I133="",J133="",K133=""), "",MAX(E133:F133:G133:H133:I133:J133:K133, 0))</f>
        <v/>
      </c>
    </row>
    <row r="134" spans="12:12" x14ac:dyDescent="0.25">
      <c r="L134" s="45" t="str">
        <f>IF(OR(E134="",F134="",G137="",H134="",I134="",J134="",K134=""), "",MAX(E134:F134:G134:H134:I134:J134:K134, 0))</f>
        <v/>
      </c>
    </row>
    <row r="135" spans="12:12" x14ac:dyDescent="0.25">
      <c r="L135" s="45" t="str">
        <f>IF(OR(E135="",F135="",G138="",H135="",I135="",J135="",K135=""), "",MAX(E135:F135:G135:H135:I135:J135:K135, 0))</f>
        <v/>
      </c>
    </row>
    <row r="136" spans="12:12" x14ac:dyDescent="0.25">
      <c r="L136" s="45" t="str">
        <f>IF(OR(E136="",F136="",G139="",H136="",I136="",J136="",K136=""), "",MAX(E136:F136:G136:H136:I136:J136:K136, 0))</f>
        <v/>
      </c>
    </row>
    <row r="137" spans="12:12" x14ac:dyDescent="0.25">
      <c r="L137" s="45" t="str">
        <f>IF(OR(E137="",F137="",G140="",H137="",I137="",J137="",K137=""), "",MAX(E137:F137:G137:H137:I137:J137:K137, 0))</f>
        <v/>
      </c>
    </row>
    <row r="138" spans="12:12" x14ac:dyDescent="0.25">
      <c r="L138" s="45" t="str">
        <f>IF(OR(E138="",F138="",G141="",H138="",I138="",J138="",K138=""), "",MAX(E138:F138:G138:H138:I138:J138:K138, 0))</f>
        <v/>
      </c>
    </row>
    <row r="139" spans="12:12" x14ac:dyDescent="0.25">
      <c r="L139" s="45" t="str">
        <f>IF(OR(E139="",F139="",G142="",H139="",I139="",J139="",K139=""), "",MAX(E139:F139:G139:H139:I139:J139:K139, 0))</f>
        <v/>
      </c>
    </row>
    <row r="140" spans="12:12" x14ac:dyDescent="0.25">
      <c r="L140" s="45" t="str">
        <f>IF(OR(E140="",F140="",G143="",H140="",I140="",J140="",K140=""), "",MAX(E140:F140:G140:H140:I140:J140:K140, 0))</f>
        <v/>
      </c>
    </row>
    <row r="141" spans="12:12" x14ac:dyDescent="0.25">
      <c r="L141" s="45" t="str">
        <f>IF(OR(E141="",F141="",G144="",H141="",I141="",J141="",K141=""), "",MAX(E141:F141:G141:H141:I141:J141:K141, 0))</f>
        <v/>
      </c>
    </row>
    <row r="142" spans="12:12" x14ac:dyDescent="0.25">
      <c r="L142" s="45" t="str">
        <f>IF(OR(E142="",F142="",G145="",H142="",I142="",J142="",K142=""), "",MAX(E142:F142:G142:H142:I142:J142:K142, 0))</f>
        <v/>
      </c>
    </row>
    <row r="143" spans="12:12" x14ac:dyDescent="0.25">
      <c r="L143" s="45" t="str">
        <f>IF(OR(E143="",F143="",G146="",H143="",I143="",J143="",K143=""), "",MAX(E143:F143:G143:H143:I143:J143:K143, 0))</f>
        <v/>
      </c>
    </row>
    <row r="144" spans="12:12" x14ac:dyDescent="0.25">
      <c r="L144" s="45" t="str">
        <f>IF(OR(E144="",F144="",G147="",H144="",I144="",J144="",K144=""), "",MAX(E144:F144:G144:H144:I144:J144:K144, 0))</f>
        <v/>
      </c>
    </row>
    <row r="145" spans="12:12" x14ac:dyDescent="0.25">
      <c r="L145" s="45" t="str">
        <f>IF(OR(E145="",F145="",G148="",H145="",I145="",J145="",K145=""), "",MAX(E145:F145:G145:H145:I145:J145:K145, 0))</f>
        <v/>
      </c>
    </row>
    <row r="146" spans="12:12" x14ac:dyDescent="0.25">
      <c r="L146" s="45" t="str">
        <f>IF(OR(E146="",F146="",G149="",H146="",I146="",J146="",K146=""), "",MAX(E146:F146:G146:H146:I146:J146:K146, 0))</f>
        <v/>
      </c>
    </row>
    <row r="147" spans="12:12" x14ac:dyDescent="0.25">
      <c r="L147" s="45" t="str">
        <f>IF(OR(E147="",F147="",G150="",H147="",I147="",J147="",K147=""), "",MAX(E147:F147:G147:H147:I147:J147:K147, 0))</f>
        <v/>
      </c>
    </row>
    <row r="148" spans="12:12" x14ac:dyDescent="0.25">
      <c r="L148" s="45" t="str">
        <f>IF(OR(E148="",F148="",G151="",H148="",I148="",J148="",K148=""), "",MAX(E148:F148:G148:H148:I148:J148:K148, 0))</f>
        <v/>
      </c>
    </row>
    <row r="149" spans="12:12" x14ac:dyDescent="0.25">
      <c r="L149" s="45" t="str">
        <f>IF(OR(E149="",F149="",G152="",H149="",I149="",J149="",K149=""), "",MAX(E149:F149:G149:H149:I149:J149:K149, 0))</f>
        <v/>
      </c>
    </row>
    <row r="150" spans="12:12" x14ac:dyDescent="0.25">
      <c r="L150" s="45" t="str">
        <f>IF(OR(E150="",F150="",G153="",H150="",I150="",J150="",K150=""), "",MAX(E150:F150:G150:H150:I150:J150:K150, 0))</f>
        <v/>
      </c>
    </row>
    <row r="151" spans="12:12" x14ac:dyDescent="0.25">
      <c r="L151" s="45" t="str">
        <f>IF(OR(E151="",F151="",G154="",H151="",I151="",J151="",K151=""), "",MAX(E151:F151:G151:H151:I151:J151:K151, 0))</f>
        <v/>
      </c>
    </row>
    <row r="152" spans="12:12" x14ac:dyDescent="0.25">
      <c r="L152" s="45" t="str">
        <f>IF(OR(E152="",F152="",G155="",H152="",I152="",J152="",K152=""), "",MAX(E152:F152:G152:H152:I152:J152:K152, 0))</f>
        <v/>
      </c>
    </row>
    <row r="153" spans="12:12" x14ac:dyDescent="0.25">
      <c r="L153" s="45" t="str">
        <f>IF(OR(E153="",F153="",G156="",H153="",I153="",J153="",K153=""), "",MAX(E153:F153:G153:H153:I153:J153:K153, 0))</f>
        <v/>
      </c>
    </row>
    <row r="154" spans="12:12" x14ac:dyDescent="0.25">
      <c r="L154" s="45" t="str">
        <f>IF(OR(E154="",F154="",G157="",H154="",I154="",J154="",K154=""), "",MAX(E154:F154:G154:H154:I154:J154:K154, 0))</f>
        <v/>
      </c>
    </row>
    <row r="155" spans="12:12" x14ac:dyDescent="0.25">
      <c r="L155" s="45" t="str">
        <f>IF(OR(E155="",F155="",G158="",H155="",I155="",J155="",K155=""), "",MAX(E155:F155:G155:H155:I155:J155:K155, 0))</f>
        <v/>
      </c>
    </row>
    <row r="156" spans="12:12" x14ac:dyDescent="0.25">
      <c r="L156" s="45" t="str">
        <f>IF(OR(E156="",F156="",G159="",H156="",I156="",J156="",K156=""), "",MAX(E156:F156:G156:H156:I156:J156:K156, 0))</f>
        <v/>
      </c>
    </row>
    <row r="157" spans="12:12" x14ac:dyDescent="0.25">
      <c r="L157" s="45" t="str">
        <f>IF(OR(E157="",F157="",G160="",H157="",I157="",J157="",K157=""), "",MAX(E157:F157:G157:H157:I157:J157:K157, 0))</f>
        <v/>
      </c>
    </row>
    <row r="158" spans="12:12" x14ac:dyDescent="0.25">
      <c r="L158" s="45" t="str">
        <f>IF(OR(E158="",F158="",G161="",H158="",I158="",J158="",K158=""), "",MAX(E158:F158:G158:H158:I158:J158:K158, 0))</f>
        <v/>
      </c>
    </row>
    <row r="159" spans="12:12" x14ac:dyDescent="0.25">
      <c r="L159" s="45" t="str">
        <f>IF(OR(E159="",F159="",G162="",H159="",I159="",J159="",K159=""), "",MAX(E159:F159:G159:H159:I159:J159:K159, 0))</f>
        <v/>
      </c>
    </row>
    <row r="160" spans="12:12" x14ac:dyDescent="0.25">
      <c r="L160" s="45" t="str">
        <f>IF(OR(E160="",F160="",G163="",H160="",I160="",J160="",K160=""), "",MAX(E160:F160:G160:H160:I160:J160:K160, 0))</f>
        <v/>
      </c>
    </row>
    <row r="161" spans="12:12" x14ac:dyDescent="0.25">
      <c r="L161" s="45" t="str">
        <f>IF(OR(E161="",F161="",G164="",H161="",I161="",J161="",K161=""), "",MAX(E161:F161:G161:H161:I161:J161:K161, 0))</f>
        <v/>
      </c>
    </row>
    <row r="162" spans="12:12" x14ac:dyDescent="0.25">
      <c r="L162" s="45" t="str">
        <f>IF(OR(E162="",F162="",G165="",H162="",I162="",J162="",K162=""), "",MAX(E162:F162:G162:H162:I162:J162:K162, 0))</f>
        <v/>
      </c>
    </row>
    <row r="163" spans="12:12" x14ac:dyDescent="0.25">
      <c r="L163" s="45" t="str">
        <f>IF(OR(E163="",F163="",G166="",H163="",I163="",J163="",K163=""), "",MAX(E163:F163:G163:H163:I163:J163:K163, 0))</f>
        <v/>
      </c>
    </row>
    <row r="164" spans="12:12" x14ac:dyDescent="0.25">
      <c r="L164" s="45" t="str">
        <f>IF(OR(E164="",F164="",G167="",H164="",I164="",J164="",K164=""), "",MAX(E164:F164:G164:H164:I164:J164:K164, 0))</f>
        <v/>
      </c>
    </row>
    <row r="165" spans="12:12" x14ac:dyDescent="0.25">
      <c r="L165" s="45" t="str">
        <f>IF(OR(E165="",F165="",G168="",H165="",I165="",J165="",K165=""), "",MAX(E165:F165:G165:H165:I165:J165:K165, 0))</f>
        <v/>
      </c>
    </row>
    <row r="166" spans="12:12" x14ac:dyDescent="0.25">
      <c r="L166" s="45" t="str">
        <f>IF(OR(E166="",F166="",G169="",H166="",I166="",J166="",K166=""), "",MAX(E166:F166:G166:H166:I166:J166:K166, 0))</f>
        <v/>
      </c>
    </row>
    <row r="167" spans="12:12" x14ac:dyDescent="0.25">
      <c r="L167" s="45" t="str">
        <f>IF(OR(E167="",F167="",G170="",H167="",I167="",J167="",K167=""), "",MAX(E167:F167:G167:H167:I167:J167:K167, 0))</f>
        <v/>
      </c>
    </row>
    <row r="168" spans="12:12" x14ac:dyDescent="0.25">
      <c r="L168" s="45" t="str">
        <f>IF(OR(E168="",F168="",G171="",H168="",I168="",J168="",K168=""), "",MAX(E168:F168:G168:H168:I168:J168:K168, 0))</f>
        <v/>
      </c>
    </row>
    <row r="169" spans="12:12" x14ac:dyDescent="0.25">
      <c r="L169" s="45" t="str">
        <f>IF(OR(E169="",F169="",G172="",H169="",I169="",J169="",K169=""), "",MAX(E169:F169:G169:H169:I169:J169:K169, 0))</f>
        <v/>
      </c>
    </row>
    <row r="170" spans="12:12" x14ac:dyDescent="0.25">
      <c r="L170" s="45" t="str">
        <f>IF(OR(E170="",F170="",G173="",H170="",I170="",J170="",K170=""), "",MAX(E170:F170:G170:H170:I170:J170:K170, 0))</f>
        <v/>
      </c>
    </row>
    <row r="171" spans="12:12" x14ac:dyDescent="0.25">
      <c r="L171" s="45" t="str">
        <f>IF(OR(E171="",F171="",G174="",H171="",I171="",J171="",K171=""), "",MAX(E171:F171:G171:H171:I171:J171:K171, 0))</f>
        <v/>
      </c>
    </row>
    <row r="172" spans="12:12" x14ac:dyDescent="0.25">
      <c r="L172" s="45" t="str">
        <f>IF(OR(E172="",F172="",G175="",H172="",I172="",J172="",K172=""), "",MAX(E172:F172:G172:H172:I172:J172:K172, 0))</f>
        <v/>
      </c>
    </row>
    <row r="173" spans="12:12" x14ac:dyDescent="0.25">
      <c r="L173" s="45" t="str">
        <f>IF(OR(E173="",F173="",G176="",H173="",I173="",J173="",K173=""), "",MAX(E173:F173:G173:H173:I173:J173:K173, 0))</f>
        <v/>
      </c>
    </row>
    <row r="174" spans="12:12" x14ac:dyDescent="0.25">
      <c r="L174" s="45" t="str">
        <f>IF(OR(E174="",F174="",G177="",H174="",I174="",J174="",K174=""), "",MAX(E174:F174:G174:H174:I174:J174:K174, 0))</f>
        <v/>
      </c>
    </row>
    <row r="175" spans="12:12" x14ac:dyDescent="0.25">
      <c r="L175" s="45" t="str">
        <f>IF(OR(E175="",F175="",G178="",H175="",I175="",J175="",K175=""), "",MAX(E175:F175:G175:H175:I175:J175:K175, 0))</f>
        <v/>
      </c>
    </row>
    <row r="176" spans="12:12" x14ac:dyDescent="0.25">
      <c r="L176" s="45" t="str">
        <f>IF(OR(E176="",F176="",G179="",H176="",I176="",J176="",K176=""), "",MAX(E176:F176:G176:H176:I176:J176:K176, 0))</f>
        <v/>
      </c>
    </row>
    <row r="177" spans="12:12" x14ac:dyDescent="0.25">
      <c r="L177" s="45" t="str">
        <f>IF(OR(E177="",F177="",G180="",H177="",I177="",J177="",K177=""), "",MAX(E177:F177:G177:H177:I177:J177:K177, 0))</f>
        <v/>
      </c>
    </row>
    <row r="178" spans="12:12" x14ac:dyDescent="0.25">
      <c r="L178" s="45" t="str">
        <f>IF(OR(E178="",F178="",G181="",H178="",I178="",J178="",K178=""), "",MAX(E178:F178:G178:H178:I178:J178:K178, 0))</f>
        <v/>
      </c>
    </row>
    <row r="179" spans="12:12" x14ac:dyDescent="0.25">
      <c r="L179" s="45" t="str">
        <f>IF(OR(E179="",F179="",G182="",H179="",I179="",J179="",K179=""), "",MAX(E179:F179:G179:H179:I179:J179:K179, 0))</f>
        <v/>
      </c>
    </row>
    <row r="180" spans="12:12" x14ac:dyDescent="0.25">
      <c r="L180" s="45" t="str">
        <f>IF(OR(E180="",F180="",G183="",H180="",I180="",J180="",K180=""), "",MAX(E180:F180:G180:H180:I180:J180:K180, 0))</f>
        <v/>
      </c>
    </row>
    <row r="181" spans="12:12" x14ac:dyDescent="0.25">
      <c r="L181" s="45" t="str">
        <f>IF(OR(E181="",F181="",G184="",H181="",I181="",J181="",K181=""), "",MAX(E181:F181:G181:H181:I181:J181:K181, 0))</f>
        <v/>
      </c>
    </row>
    <row r="182" spans="12:12" x14ac:dyDescent="0.25">
      <c r="L182" s="45" t="str">
        <f>IF(OR(E182="",F182="",G185="",H182="",I182="",J182="",K182=""), "",MAX(E182:F182:G182:H182:I182:J182:K182, 0))</f>
        <v/>
      </c>
    </row>
    <row r="183" spans="12:12" x14ac:dyDescent="0.25">
      <c r="L183" s="45" t="str">
        <f>IF(OR(E183="",F183="",G186="",H183="",I183="",J183="",K183=""), "",MAX(E183:F183:G183:H183:I183:J183:K183, 0))</f>
        <v/>
      </c>
    </row>
    <row r="184" spans="12:12" x14ac:dyDescent="0.25">
      <c r="L184" s="45" t="str">
        <f>IF(OR(E184="",F184="",G187="",H184="",I184="",J184="",K184=""), "",MAX(E184:F184:G184:H184:I184:J184:K184, 0))</f>
        <v/>
      </c>
    </row>
    <row r="185" spans="12:12" x14ac:dyDescent="0.25">
      <c r="L185" s="45" t="str">
        <f>IF(OR(E185="",F185="",G188="",H185="",I185="",J185="",K185=""), "",MAX(E185:F185:G185:H185:I185:J185:K185, 0))</f>
        <v/>
      </c>
    </row>
    <row r="186" spans="12:12" x14ac:dyDescent="0.25">
      <c r="L186" s="45" t="str">
        <f>IF(OR(E186="",F186="",G189="",H186="",I186="",J186="",K186=""), "",MAX(E186:F186:G186:H186:I186:J186:K186, 0))</f>
        <v/>
      </c>
    </row>
    <row r="187" spans="12:12" x14ac:dyDescent="0.25">
      <c r="L187" s="45" t="str">
        <f>IF(OR(E187="",F187="",G190="",H187="",I187="",J187="",K187=""), "",MAX(E187:F187:G187:H187:I187:J187:K187, 0))</f>
        <v/>
      </c>
    </row>
    <row r="188" spans="12:12" x14ac:dyDescent="0.25">
      <c r="L188" s="45" t="str">
        <f>IF(OR(E188="",F188="",G191="",H188="",I188="",J188="",K188=""), "",MAX(E188:F188:G188:H188:I188:J188:K188, 0))</f>
        <v/>
      </c>
    </row>
    <row r="189" spans="12:12" x14ac:dyDescent="0.25">
      <c r="L189" s="45" t="str">
        <f>IF(OR(E189="",F189="",G192="",H189="",I189="",J189="",K189=""), "",MAX(E189:F189:G189:H189:I189:J189:K189, 0))</f>
        <v/>
      </c>
    </row>
    <row r="190" spans="12:12" x14ac:dyDescent="0.25">
      <c r="L190" s="45" t="str">
        <f>IF(OR(E190="",F190="",G193="",H190="",I190="",J190="",K190=""), "",MAX(E190:F190:G190:H190:I190:J190:K190, 0))</f>
        <v/>
      </c>
    </row>
    <row r="191" spans="12:12" x14ac:dyDescent="0.25">
      <c r="L191" s="45" t="str">
        <f>IF(OR(E191="",F191="",G194="",H191="",I191="",J191="",K191=""), "",MAX(E191:F191:G191:H191:I191:J191:K191, 0))</f>
        <v/>
      </c>
    </row>
    <row r="192" spans="12:12" x14ac:dyDescent="0.25">
      <c r="L192" s="45" t="str">
        <f>IF(OR(E192="",F192="",G195="",H192="",I192="",J192="",K192=""), "",MAX(E192:F192:G192:H192:I192:J192:K192, 0))</f>
        <v/>
      </c>
    </row>
    <row r="193" spans="12:12" x14ac:dyDescent="0.25">
      <c r="L193" s="45" t="str">
        <f>IF(OR(E193="",F193="",G196="",H193="",I193="",J193="",K193=""), "",MAX(E193:F193:G193:H193:I193:J193:K193, 0))</f>
        <v/>
      </c>
    </row>
    <row r="194" spans="12:12" x14ac:dyDescent="0.25">
      <c r="L194" s="45" t="str">
        <f>IF(OR(E194="",F194="",G197="",H194="",I194="",J194="",K194=""), "",MAX(E194:F194:G194:H194:I194:J194:K194, 0))</f>
        <v/>
      </c>
    </row>
    <row r="195" spans="12:12" x14ac:dyDescent="0.25">
      <c r="L195" s="45" t="str">
        <f>IF(OR(E195="",F195="",G198="",H195="",I195="",J195="",K195=""), "",MAX(E195:F195:G195:H195:I195:J195:K195, 0))</f>
        <v/>
      </c>
    </row>
    <row r="196" spans="12:12" x14ac:dyDescent="0.25">
      <c r="L196" s="45" t="str">
        <f>IF(OR(E196="",F196="",G199="",H196="",I196="",J196="",K196=""), "",MAX(E196:F196:G196:H196:I196:J196:K196, 0))</f>
        <v/>
      </c>
    </row>
    <row r="197" spans="12:12" x14ac:dyDescent="0.25">
      <c r="L197" s="45" t="str">
        <f>IF(OR(E197="",F197="",G200="",H197="",I197="",J197="",K197=""), "",MAX(E197:F197:G197:H197:I197:J197:K197, 0))</f>
        <v/>
      </c>
    </row>
    <row r="198" spans="12:12" x14ac:dyDescent="0.25">
      <c r="L198" s="45" t="str">
        <f>IF(OR(E198="",F198="",G201="",H198="",I198="",J198="",K198=""), "",MAX(E198:F198:G198:H198:I198:J198:K198, 0))</f>
        <v/>
      </c>
    </row>
    <row r="199" spans="12:12" x14ac:dyDescent="0.25">
      <c r="L199" s="45" t="str">
        <f>IF(OR(E199="",F199="",G202="",H199="",I199="",J199="",K199=""), "",MAX(E199:F199:G199:H199:I199:J199:K199, 0))</f>
        <v/>
      </c>
    </row>
    <row r="200" spans="12:12" x14ac:dyDescent="0.25">
      <c r="L200" s="45" t="str">
        <f>IF(OR(E200="",F200="",G203="",H200="",I200="",J200="",K200=""), "",MAX(E200:F200:G200:H200:I200:J200:K200, 0))</f>
        <v/>
      </c>
    </row>
    <row r="201" spans="12:12" x14ac:dyDescent="0.25">
      <c r="L201" s="45" t="str">
        <f>IF(OR(E201="",F201="",G204="",H201="",I201="",J201="",K201=""), "",MAX(E201:F201:G201:H201:I201:J201:K201, 0))</f>
        <v/>
      </c>
    </row>
    <row r="202" spans="12:12" x14ac:dyDescent="0.25">
      <c r="L202" s="45" t="str">
        <f>IF(OR(E202="",F202="",G205="",H202="",I202="",J202="",K202=""), "",MAX(E202:F202:G202:H202:I202:J202:K202, 0))</f>
        <v/>
      </c>
    </row>
    <row r="203" spans="12:12" x14ac:dyDescent="0.25">
      <c r="L203" s="45" t="str">
        <f>IF(OR(E203="",F203="",G206="",H203="",I203="",J203="",K203=""), "",MAX(E203:F203:G203:H203:I203:J203:K203, 0))</f>
        <v/>
      </c>
    </row>
    <row r="204" spans="12:12" x14ac:dyDescent="0.25">
      <c r="L204" s="45" t="str">
        <f>IF(OR(E204="",F204="",G207="",H204="",I204="",J204="",K204=""), "",MAX(E204:F204:G204:H204:I204:J204:K204, 0))</f>
        <v/>
      </c>
    </row>
    <row r="205" spans="12:12" x14ac:dyDescent="0.25">
      <c r="L205" s="45" t="str">
        <f>IF(OR(E205="",F205="",G208="",H205="",I205="",J205="",K205=""), "",MAX(E205:F205:G205:H205:I205:J205:K205, 0))</f>
        <v/>
      </c>
    </row>
    <row r="206" spans="12:12" x14ac:dyDescent="0.25">
      <c r="L206" s="45" t="str">
        <f>IF(OR(E206="",F206="",G209="",H206="",I206="",J206="",K206=""), "",MAX(E206:F206:G206:H206:I206:J206:K206, 0))</f>
        <v/>
      </c>
    </row>
    <row r="207" spans="12:12" x14ac:dyDescent="0.25">
      <c r="L207" s="45" t="str">
        <f>IF(OR(E207="",F207="",G210="",H207="",I207="",J207="",K207=""), "",MAX(E207:F207:G207:H207:I207:J207:K207, 0))</f>
        <v/>
      </c>
    </row>
    <row r="208" spans="12:12" x14ac:dyDescent="0.25">
      <c r="L208" s="45" t="str">
        <f>IF(OR(E208="",F208="",G211="",H208="",I208="",J208="",K208=""), "",MAX(E208:F208:G208:H208:I208:J208:K208, 0))</f>
        <v/>
      </c>
    </row>
    <row r="209" spans="12:12" x14ac:dyDescent="0.25">
      <c r="L209" s="45" t="str">
        <f>IF(OR(E209="",F209="",G212="",H209="",I209="",J209="",K209=""), "",MAX(E209:F209:G209:H209:I209:J209:K209, 0))</f>
        <v/>
      </c>
    </row>
    <row r="210" spans="12:12" x14ac:dyDescent="0.25">
      <c r="L210" s="45" t="str">
        <f>IF(OR(E210="",F210="",G213="",H210="",I210="",J210="",K210=""), "",MAX(E210:F210:G210:H210:I210:J210:K210, 0))</f>
        <v/>
      </c>
    </row>
    <row r="211" spans="12:12" x14ac:dyDescent="0.25">
      <c r="L211" s="45" t="str">
        <f>IF(OR(E211="",F211="",G214="",H211="",I211="",J211="",K211=""), "",MAX(E211:F211:G211:H211:I211:J211:K211, 0))</f>
        <v/>
      </c>
    </row>
    <row r="212" spans="12:12" x14ac:dyDescent="0.25">
      <c r="L212" s="45" t="str">
        <f>IF(OR(E212="",F212="",G215="",H212="",I212="",J212="",K212=""), "",MAX(E212:F212:G212:H212:I212:J212:K212, 0))</f>
        <v/>
      </c>
    </row>
    <row r="213" spans="12:12" x14ac:dyDescent="0.25">
      <c r="L213" s="45" t="str">
        <f>IF(OR(E213="",F213="",G216="",H213="",I213="",J213="",K213=""), "",MAX(E213:F213:G213:H213:I213:J213:K213, 0))</f>
        <v/>
      </c>
    </row>
    <row r="214" spans="12:12" x14ac:dyDescent="0.25">
      <c r="L214" s="45" t="str">
        <f>IF(OR(E214="",F214="",G217="",H214="",I214="",J214="",K214=""), "",MAX(E214:F214:G214:H214:I214:J214:K214, 0))</f>
        <v/>
      </c>
    </row>
    <row r="215" spans="12:12" x14ac:dyDescent="0.25">
      <c r="L215" s="45" t="str">
        <f>IF(OR(E215="",F215="",G218="",H215="",I215="",J215="",K215=""), "",MAX(E215:F215:G215:H215:I215:J215:K215, 0))</f>
        <v/>
      </c>
    </row>
    <row r="216" spans="12:12" x14ac:dyDescent="0.25">
      <c r="L216" s="45" t="str">
        <f>IF(OR(E216="",F216="",G219="",H216="",I216="",J216="",K216=""), "",MAX(E216:F216:G216:H216:I216:J216:K216, 0))</f>
        <v/>
      </c>
    </row>
    <row r="217" spans="12:12" x14ac:dyDescent="0.25">
      <c r="L217" s="45" t="str">
        <f>IF(OR(E217="",F217="",G220="",H217="",I217="",J217="",K217=""), "",MAX(E217:F217:G217:H217:I217:J217:K217, 0))</f>
        <v/>
      </c>
    </row>
    <row r="218" spans="12:12" x14ac:dyDescent="0.25">
      <c r="L218" s="45" t="str">
        <f>IF(OR(E218="",F218="",G221="",H218="",I218="",J218="",K218=""), "",MAX(E218:F218:G218:H218:I218:J218:K218, 0))</f>
        <v/>
      </c>
    </row>
    <row r="219" spans="12:12" x14ac:dyDescent="0.25">
      <c r="L219" s="45" t="str">
        <f>IF(OR(E219="",F219="",G222="",H219="",I219="",J219="",K219=""), "",MAX(E219:F219:G219:H219:I219:J219:K219, 0))</f>
        <v/>
      </c>
    </row>
    <row r="220" spans="12:12" x14ac:dyDescent="0.25">
      <c r="L220" s="45" t="str">
        <f>IF(OR(E220="",F220="",G223="",H220="",I220="",J220="",K220=""), "",MAX(E220:F220:G220:H220:I220:J220:K220, 0))</f>
        <v/>
      </c>
    </row>
    <row r="221" spans="12:12" x14ac:dyDescent="0.25">
      <c r="L221" s="45" t="str">
        <f>IF(OR(E221="",F221="",G224="",H221="",I221="",J221="",K221=""), "",MAX(E221:F221:G221:H221:I221:J221:K221, 0))</f>
        <v/>
      </c>
    </row>
    <row r="222" spans="12:12" x14ac:dyDescent="0.25">
      <c r="L222" s="45" t="str">
        <f>IF(OR(E222="",F222="",G225="",H222="",I222="",J222="",K222=""), "",MAX(E222:F222:G222:H222:I222:J222:K222, 0))</f>
        <v/>
      </c>
    </row>
    <row r="223" spans="12:12" x14ac:dyDescent="0.25">
      <c r="L223" s="45" t="str">
        <f>IF(OR(E223="",F223="",G226="",H223="",I223="",J223="",K223=""), "",MAX(E223:F223:G223:H223:I223:J223:K223, 0))</f>
        <v/>
      </c>
    </row>
    <row r="224" spans="12:12" x14ac:dyDescent="0.25">
      <c r="L224" s="45" t="str">
        <f>IF(OR(E224="",F224="",G227="",H224="",I224="",J224="",K224=""), "",MAX(E224:F224:G224:H224:I224:J224:K224, 0))</f>
        <v/>
      </c>
    </row>
    <row r="225" spans="12:12" x14ac:dyDescent="0.25">
      <c r="L225" s="45" t="str">
        <f>IF(OR(E225="",F225="",G228="",H225="",I225="",J225="",K225=""), "",MAX(E225:F225:G225:H225:I225:J225:K225, 0))</f>
        <v/>
      </c>
    </row>
    <row r="226" spans="12:12" x14ac:dyDescent="0.25">
      <c r="L226" s="45" t="str">
        <f>IF(OR(E226="",F226="",G229="",H226="",I226="",J226="",K226=""), "",MAX(E226:F226:G226:H226:I226:J226:K226, 0))</f>
        <v/>
      </c>
    </row>
    <row r="227" spans="12:12" x14ac:dyDescent="0.25">
      <c r="L227" s="45" t="str">
        <f>IF(OR(E227="",F227="",G230="",H227="",I227="",J227="",K227=""), "",MAX(E227:F227:G227:H227:I227:J227:K227, 0))</f>
        <v/>
      </c>
    </row>
    <row r="228" spans="12:12" x14ac:dyDescent="0.25">
      <c r="L228" s="45" t="str">
        <f>IF(OR(E228="",F228="",G231="",H228="",I228="",J228="",K228=""), "",MAX(E228:F228:G228:H228:I228:J228:K228, 0))</f>
        <v/>
      </c>
    </row>
    <row r="229" spans="12:12" x14ac:dyDescent="0.25">
      <c r="L229" s="45" t="str">
        <f>IF(OR(E229="",F229="",G232="",H229="",I229="",J229="",K229=""), "",MAX(E229:F229:G229:H229:I229:J229:K229, 0))</f>
        <v/>
      </c>
    </row>
    <row r="230" spans="12:12" x14ac:dyDescent="0.25">
      <c r="L230" s="45" t="str">
        <f>IF(OR(E230="",F230="",G233="",H230="",I230="",J230="",K230=""), "",MAX(E230:F230:G230:H230:I230:J230:K230, 0))</f>
        <v/>
      </c>
    </row>
    <row r="231" spans="12:12" x14ac:dyDescent="0.25">
      <c r="L231" s="45" t="str">
        <f>IF(OR(E231="",F231="",G234="",H231="",I231="",J231="",K231=""), "",MAX(E231:F231:G231:H231:I231:J231:K231, 0))</f>
        <v/>
      </c>
    </row>
    <row r="232" spans="12:12" x14ac:dyDescent="0.25">
      <c r="L232" s="45" t="str">
        <f>IF(OR(E232="",F232="",G235="",H232="",I232="",J232="",K232=""), "",MAX(E232:F232:G232:H232:I232:J232:K232, 0))</f>
        <v/>
      </c>
    </row>
    <row r="233" spans="12:12" x14ac:dyDescent="0.25">
      <c r="L233" s="45" t="str">
        <f>IF(OR(E233="",F233="",G236="",H233="",I233="",J233="",K233=""), "",MAX(E233:F233:G233:H233:I233:J233:K233, 0))</f>
        <v/>
      </c>
    </row>
    <row r="234" spans="12:12" x14ac:dyDescent="0.25">
      <c r="L234" s="45" t="str">
        <f>IF(OR(E234="",F234="",G237="",H234="",I234="",J234="",K234=""), "",MAX(E234:F234:G234:H234:I234:J234:K234, 0))</f>
        <v/>
      </c>
    </row>
    <row r="235" spans="12:12" x14ac:dyDescent="0.25">
      <c r="L235" s="45" t="str">
        <f>IF(OR(E235="",F235="",G238="",H235="",I235="",J235="",K235=""), "",MAX(E235:F235:G235:H235:I235:J235:K235, 0))</f>
        <v/>
      </c>
    </row>
    <row r="236" spans="12:12" x14ac:dyDescent="0.25">
      <c r="L236" s="45" t="str">
        <f>IF(OR(E236="",F236="",G239="",H236="",I236="",J236="",K236=""), "",MAX(E236:F236:G236:H236:I236:J236:K236, 0))</f>
        <v/>
      </c>
    </row>
    <row r="237" spans="12:12" x14ac:dyDescent="0.25">
      <c r="L237" s="45" t="str">
        <f>IF(OR(E237="",F237="",G240="",H237="",I237="",J237="",K237=""), "",MAX(E237:F237:G237:H237:I237:J237:K237, 0))</f>
        <v/>
      </c>
    </row>
    <row r="238" spans="12:12" x14ac:dyDescent="0.25">
      <c r="L238" s="45" t="str">
        <f>IF(OR(E238="",F238="",G241="",H238="",I238="",J238="",K238=""), "",MAX(E238:F238:G238:H238:I238:J238:K238, 0))</f>
        <v/>
      </c>
    </row>
    <row r="239" spans="12:12" x14ac:dyDescent="0.25">
      <c r="L239" s="45" t="str">
        <f>IF(OR(E239="",F239="",G242="",H239="",I239="",J239="",K239=""), "",MAX(E239:F239:G239:H239:I239:J239:K239, 0))</f>
        <v/>
      </c>
    </row>
    <row r="240" spans="12:12" x14ac:dyDescent="0.25">
      <c r="L240" s="45" t="str">
        <f>IF(OR(E240="",F240="",G243="",H240="",I240="",J240="",K240=""), "",MAX(E240:F240:G240:H240:I240:J240:K240, 0))</f>
        <v/>
      </c>
    </row>
    <row r="241" spans="12:12" x14ac:dyDescent="0.25">
      <c r="L241" s="45" t="str">
        <f>IF(OR(E241="",F241="",G244="",H241="",I241="",J241="",K241=""), "",MAX(E241:F241:G241:H241:I241:J241:K241, 0))</f>
        <v/>
      </c>
    </row>
    <row r="242" spans="12:12" x14ac:dyDescent="0.25">
      <c r="L242" s="45" t="str">
        <f>IF(OR(E242="",F242="",G245="",H242="",I242="",J242="",K242=""), "",MAX(E242:F242:G242:H242:I242:J242:K242, 0))</f>
        <v/>
      </c>
    </row>
    <row r="243" spans="12:12" x14ac:dyDescent="0.25">
      <c r="L243" s="45" t="str">
        <f>IF(OR(E243="",F243="",G246="",H243="",I243="",J243="",K243=""), "",MAX(E243:F243:G243:H243:I243:J243:K243, 0))</f>
        <v/>
      </c>
    </row>
    <row r="244" spans="12:12" x14ac:dyDescent="0.25">
      <c r="L244" s="45" t="str">
        <f>IF(OR(E244="",F244="",G247="",H244="",I244="",J244="",K244=""), "",MAX(E244:F244:G244:H244:I244:J244:K244, 0))</f>
        <v/>
      </c>
    </row>
    <row r="245" spans="12:12" x14ac:dyDescent="0.25">
      <c r="L245" s="45" t="str">
        <f>IF(OR(E245="",F245="",G248="",H245="",I245="",J245="",K245=""), "",MAX(E245:F245:G245:H245:I245:J245:K245, 0))</f>
        <v/>
      </c>
    </row>
    <row r="246" spans="12:12" x14ac:dyDescent="0.25">
      <c r="L246" s="45" t="str">
        <f>IF(OR(E246="",F246="",G249="",H246="",I246="",J246="",K246=""), "",MAX(E246:F246:G246:H246:I246:J246:K246, 0))</f>
        <v/>
      </c>
    </row>
    <row r="247" spans="12:12" x14ac:dyDescent="0.25">
      <c r="L247" s="45" t="str">
        <f>IF(OR(E247="",F247="",G250="",H247="",I247="",J247="",K247=""), "",MAX(E247:F247:G247:H247:I247:J247:K247, 0))</f>
        <v/>
      </c>
    </row>
    <row r="248" spans="12:12" x14ac:dyDescent="0.25">
      <c r="L248" s="45" t="str">
        <f>IF(OR(E248="",F248="",G251="",H248="",I248="",J248="",K248=""), "",MAX(E248:F248:G248:H248:I248:J248:K248, 0))</f>
        <v/>
      </c>
    </row>
    <row r="249" spans="12:12" x14ac:dyDescent="0.25">
      <c r="L249" s="45" t="str">
        <f>IF(OR(E249="",F249="",G252="",H249="",I249="",J249="",K249=""), "",MAX(E249:F249:G249:H249:I249:J249:K249, 0))</f>
        <v/>
      </c>
    </row>
    <row r="250" spans="12:12" x14ac:dyDescent="0.25">
      <c r="L250" s="45" t="str">
        <f>IF(OR(E250="",F250="",G253="",H250="",I250="",J250="",K250=""), "",MAX(E250:F250:G250:H250:I250:J250:K250, 0))</f>
        <v/>
      </c>
    </row>
    <row r="251" spans="12:12" x14ac:dyDescent="0.25">
      <c r="L251" s="45" t="str">
        <f>IF(OR(E251="",F251="",G254="",H251="",I251="",J251="",K251=""), "",MAX(E251:F251:G251:H251:I251:J251:K251, 0))</f>
        <v/>
      </c>
    </row>
    <row r="252" spans="12:12" x14ac:dyDescent="0.25">
      <c r="L252" s="45" t="str">
        <f>IF(OR(E252="",F252="",G255="",H252="",I252="",J252="",K252=""), "",MAX(E252:F252:G252:H252:I252:J252:K252, 0))</f>
        <v/>
      </c>
    </row>
    <row r="253" spans="12:12" x14ac:dyDescent="0.25">
      <c r="L253" s="45" t="str">
        <f>IF(OR(E253="",F253="",G256="",H253="",I253="",J253="",K253=""), "",MAX(E253:F253:G253:H253:I253:J253:K253, 0))</f>
        <v/>
      </c>
    </row>
    <row r="254" spans="12:12" x14ac:dyDescent="0.25">
      <c r="L254" s="45" t="str">
        <f>IF(OR(E254="",F254="",G257="",H254="",I254="",J254="",K254=""), "",MAX(E254:F254:G254:H254:I254:J254:K254, 0))</f>
        <v/>
      </c>
    </row>
    <row r="255" spans="12:12" x14ac:dyDescent="0.25">
      <c r="L255" s="45" t="str">
        <f>IF(OR(E255="",F255="",G258="",H255="",I255="",J255="",K255=""), "",MAX(E255:F255:G255:H255:I255:J255:K255, 0))</f>
        <v/>
      </c>
    </row>
    <row r="256" spans="12:12" x14ac:dyDescent="0.25">
      <c r="L256" s="45" t="str">
        <f>IF(OR(E256="",F256="",G259="",H256="",I256="",J256="",K256=""), "",MAX(E256:F256:G256:H256:I256:J256:K256, 0))</f>
        <v/>
      </c>
    </row>
    <row r="257" spans="12:12" x14ac:dyDescent="0.25">
      <c r="L257" s="45" t="str">
        <f>IF(OR(E257="",F257="",G260="",H257="",I257="",J257="",K257=""), "",MAX(E257:F257:G257:H257:I257:J257:K257, 0))</f>
        <v/>
      </c>
    </row>
    <row r="258" spans="12:12" x14ac:dyDescent="0.25">
      <c r="L258" s="45" t="str">
        <f>IF(OR(E258="",F258="",G261="",H258="",I258="",J258="",K258=""), "",MAX(E258:F258:G258:H258:I258:J258:K258, 0))</f>
        <v/>
      </c>
    </row>
    <row r="259" spans="12:12" x14ac:dyDescent="0.25">
      <c r="L259" s="45" t="str">
        <f>IF(OR(E259="",F259="",G262="",H259="",I259="",J259="",K259=""), "",MAX(E259:F259:G259:H259:I259:J259:K259, 0))</f>
        <v/>
      </c>
    </row>
    <row r="260" spans="12:12" x14ac:dyDescent="0.25">
      <c r="L260" s="45" t="str">
        <f>IF(OR(E260="",F260="",G263="",H260="",I260="",J260="",K260=""), "",MAX(E260:F260:G260:H260:I260:J260:K260, 0))</f>
        <v/>
      </c>
    </row>
    <row r="261" spans="12:12" x14ac:dyDescent="0.25">
      <c r="L261" s="45" t="str">
        <f>IF(OR(E261="",F261="",G264="",H261="",I261="",J261="",K261=""), "",MAX(E261:F261:G261:H261:I261:J261:K261, 0))</f>
        <v/>
      </c>
    </row>
    <row r="262" spans="12:12" x14ac:dyDescent="0.25">
      <c r="L262" s="45" t="str">
        <f>IF(OR(E262="",F262="",G265="",H262="",I262="",J262="",K262=""), "",MAX(E262:F262:G262:H262:I262:J262:K262, 0))</f>
        <v/>
      </c>
    </row>
    <row r="263" spans="12:12" x14ac:dyDescent="0.25">
      <c r="L263" s="45" t="str">
        <f>IF(OR(E263="",F263="",G266="",H263="",I263="",J263="",K263=""), "",MAX(E263:F263:G263:H263:I263:J263:K263, 0))</f>
        <v/>
      </c>
    </row>
    <row r="264" spans="12:12" x14ac:dyDescent="0.25">
      <c r="L264" s="45" t="str">
        <f>IF(OR(E264="",F264="",G267="",H264="",I264="",J264="",K264=""), "",MAX(E264:F264:G264:H264:I264:J264:K264, 0))</f>
        <v/>
      </c>
    </row>
    <row r="265" spans="12:12" x14ac:dyDescent="0.25">
      <c r="L265" s="45" t="str">
        <f>IF(OR(E265="",F265="",G268="",H265="",I265="",J265="",K265=""), "",MAX(E265:F265:G265:H265:I265:J265:K265, 0))</f>
        <v/>
      </c>
    </row>
    <row r="266" spans="12:12" x14ac:dyDescent="0.25">
      <c r="L266" s="45" t="str">
        <f>IF(OR(E266="",F266="",G269="",H266="",I266="",J266="",K266=""), "",MAX(E266:F266:G266:H266:I266:J266:K266, 0))</f>
        <v/>
      </c>
    </row>
    <row r="267" spans="12:12" x14ac:dyDescent="0.25">
      <c r="L267" s="45" t="str">
        <f>IF(OR(E267="",F267="",G270="",H267="",I267="",J267="",K267=""), "",MAX(E267:F267:G267:H267:I267:J267:K267, 0))</f>
        <v/>
      </c>
    </row>
    <row r="268" spans="12:12" x14ac:dyDescent="0.25">
      <c r="L268" s="45" t="str">
        <f>IF(OR(E268="",F268="",G271="",H268="",I268="",J268="",K268=""), "",MAX(E268:F268:G268:H268:I268:J268:K268, 0))</f>
        <v/>
      </c>
    </row>
    <row r="269" spans="12:12" x14ac:dyDescent="0.25">
      <c r="L269" s="45" t="str">
        <f>IF(OR(E269="",F269="",G272="",H269="",I269="",J269="",K269=""), "",MAX(E269:F269:G269:H269:I269:J269:K269, 0))</f>
        <v/>
      </c>
    </row>
    <row r="270" spans="12:12" x14ac:dyDescent="0.25">
      <c r="L270" s="45" t="str">
        <f>IF(OR(E270="",F270="",G273="",H270="",I270="",J270="",K270=""), "",MAX(E270:F270:G270:H270:I270:J270:K270, 0))</f>
        <v/>
      </c>
    </row>
    <row r="271" spans="12:12" x14ac:dyDescent="0.25">
      <c r="L271" s="45" t="str">
        <f>IF(OR(E271="",F271="",G274="",H271="",I271="",J271="",K271=""), "",MAX(E271:F271:G271:H271:I271:J271:K271, 0))</f>
        <v/>
      </c>
    </row>
    <row r="272" spans="12:12" x14ac:dyDescent="0.25">
      <c r="L272" s="45" t="str">
        <f>IF(OR(E272="",F272="",G275="",H272="",I272="",J272="",K272=""), "",MAX(E272:F272:G272:H272:I272:J272:K272, 0))</f>
        <v/>
      </c>
    </row>
    <row r="273" spans="12:12" x14ac:dyDescent="0.25">
      <c r="L273" s="45" t="str">
        <f>IF(OR(E273="",F273="",G276="",H273="",I273="",J273="",K273=""), "",MAX(E273:F273:G273:H273:I273:J273:K273, 0))</f>
        <v/>
      </c>
    </row>
    <row r="274" spans="12:12" x14ac:dyDescent="0.25">
      <c r="L274" s="45" t="str">
        <f>IF(OR(E274="",F274="",G277="",H274="",I274="",J274="",K274=""), "",MAX(E274:F274:G274:H274:I274:J274:K274, 0))</f>
        <v/>
      </c>
    </row>
    <row r="275" spans="12:12" x14ac:dyDescent="0.25">
      <c r="L275" s="45" t="str">
        <f>IF(OR(E275="",F275="",G278="",H275="",I275="",J275="",K275=""), "",MAX(E275:F275:G275:H275:I275:J275:K275, 0))</f>
        <v/>
      </c>
    </row>
    <row r="276" spans="12:12" x14ac:dyDescent="0.25">
      <c r="L276" s="45" t="str">
        <f>IF(OR(E276="",F276="",G279="",H276="",I276="",J276="",K276=""), "",MAX(E276:F276:G276:H276:I276:J276:K276, 0))</f>
        <v/>
      </c>
    </row>
    <row r="277" spans="12:12" x14ac:dyDescent="0.25">
      <c r="L277" s="45" t="str">
        <f>IF(OR(E277="",F277="",G280="",H277="",I277="",J277="",K277=""), "",MAX(E277:F277:G277:H277:I277:J277:K277, 0))</f>
        <v/>
      </c>
    </row>
    <row r="278" spans="12:12" x14ac:dyDescent="0.25">
      <c r="L278" s="45" t="str">
        <f>IF(OR(E278="",F278="",G281="",H278="",I278="",J278="",K278=""), "",MAX(E278:F278:G278:H278:I278:J278:K278, 0))</f>
        <v/>
      </c>
    </row>
    <row r="279" spans="12:12" x14ac:dyDescent="0.25">
      <c r="L279" s="45" t="str">
        <f>IF(OR(E279="",F279="",G282="",H279="",I279="",J279="",K279=""), "",MAX(E279:F279:G279:H279:I279:J279:K279, 0))</f>
        <v/>
      </c>
    </row>
    <row r="280" spans="12:12" x14ac:dyDescent="0.25">
      <c r="L280" s="45" t="str">
        <f>IF(OR(E280="",F280="",G283="",H280="",I280="",J280="",K280=""), "",MAX(E280:F280:G280:H280:I280:J280:K280, 0))</f>
        <v/>
      </c>
    </row>
    <row r="281" spans="12:12" x14ac:dyDescent="0.25">
      <c r="L281" s="45" t="str">
        <f>IF(OR(E281="",F281="",G284="",H281="",I281="",J281="",K281=""), "",MAX(E281:F281:G281:H281:I281:J281:K281, 0))</f>
        <v/>
      </c>
    </row>
    <row r="282" spans="12:12" x14ac:dyDescent="0.25">
      <c r="L282" s="45" t="str">
        <f>IF(OR(E282="",F282="",G285="",H282="",I282="",J282="",K282=""), "",MAX(E282:F282:G282:H282:I282:J282:K282, 0))</f>
        <v/>
      </c>
    </row>
    <row r="283" spans="12:12" x14ac:dyDescent="0.25">
      <c r="L283" s="45" t="str">
        <f>IF(OR(E283="",F283="",G286="",H283="",I283="",J283="",K283=""), "",MAX(E283:F283:G283:H283:I283:J283:K283, 0))</f>
        <v/>
      </c>
    </row>
    <row r="284" spans="12:12" x14ac:dyDescent="0.25">
      <c r="L284" s="45" t="str">
        <f>IF(OR(E284="",F284="",G287="",H284="",I284="",J284="",K284=""), "",MAX(E284:F284:G284:H284:I284:J284:K284, 0))</f>
        <v/>
      </c>
    </row>
    <row r="285" spans="12:12" x14ac:dyDescent="0.25">
      <c r="L285" s="45" t="str">
        <f>IF(OR(E285="",F285="",G288="",H285="",I285="",J285="",K285=""), "",MAX(E285:F285:G285:H285:I285:J285:K285, 0))</f>
        <v/>
      </c>
    </row>
    <row r="286" spans="12:12" x14ac:dyDescent="0.25">
      <c r="L286" s="45" t="str">
        <f>IF(OR(E286="",F286="",G289="",H286="",I286="",J286="",K286=""), "",MAX(E286:F286:G286:H286:I286:J286:K286, 0))</f>
        <v/>
      </c>
    </row>
    <row r="287" spans="12:12" x14ac:dyDescent="0.25">
      <c r="L287" s="45" t="str">
        <f>IF(OR(E287="",F287="",G290="",H287="",I287="",J287="",K287=""), "",MAX(E287:F287:G287:H287:I287:J287:K287, 0))</f>
        <v/>
      </c>
    </row>
    <row r="288" spans="12:12" x14ac:dyDescent="0.25">
      <c r="L288" s="45" t="str">
        <f>IF(OR(E288="",F288="",G291="",H288="",I288="",J288="",K288=""), "",MAX(E288:F288:G288:H288:I288:J288:K288, 0))</f>
        <v/>
      </c>
    </row>
    <row r="289" spans="12:12" x14ac:dyDescent="0.25">
      <c r="L289" s="45" t="str">
        <f>IF(OR(E289="",F289="",G292="",H289="",I289="",J289="",K289=""), "",MAX(E289:F289:G289:H289:I289:J289:K289, 0))</f>
        <v/>
      </c>
    </row>
    <row r="290" spans="12:12" x14ac:dyDescent="0.25">
      <c r="L290" s="45" t="str">
        <f>IF(OR(E290="",F290="",G293="",H290="",I290="",J290="",K290=""), "",MAX(E290:F290:G290:H290:I290:J290:K290, 0))</f>
        <v/>
      </c>
    </row>
    <row r="291" spans="12:12" x14ac:dyDescent="0.25">
      <c r="L291" s="45" t="str">
        <f>IF(OR(E291="",F291="",G294="",H291="",I291="",J291="",K291=""), "",MAX(E291:F291:G291:H291:I291:J291:K291, 0))</f>
        <v/>
      </c>
    </row>
    <row r="292" spans="12:12" x14ac:dyDescent="0.25">
      <c r="L292" s="45" t="str">
        <f>IF(OR(E292="",F292="",G295="",H292="",I292="",J292="",K292=""), "",MAX(E292:F292:G292:H292:I292:J292:K292, 0))</f>
        <v/>
      </c>
    </row>
    <row r="293" spans="12:12" x14ac:dyDescent="0.25">
      <c r="L293" s="45" t="str">
        <f>IF(OR(E293="",F293="",G296="",H293="",I293="",J293="",K293=""), "",MAX(E293:F293:G293:H293:I293:J293:K293, 0))</f>
        <v/>
      </c>
    </row>
    <row r="294" spans="12:12" x14ac:dyDescent="0.25">
      <c r="L294" s="45" t="str">
        <f>IF(OR(E294="",F294="",G297="",H294="",I294="",J294="",K294=""), "",MAX(E294:F294:G294:H294:I294:J294:K294, 0))</f>
        <v/>
      </c>
    </row>
    <row r="295" spans="12:12" x14ac:dyDescent="0.25">
      <c r="L295" s="45" t="str">
        <f>IF(OR(E295="",F295="",G298="",H295="",I295="",J295="",K295=""), "",MAX(E295:F295:G295:H295:I295:J295:K295, 0))</f>
        <v/>
      </c>
    </row>
    <row r="296" spans="12:12" x14ac:dyDescent="0.25">
      <c r="L296" s="45" t="str">
        <f>IF(OR(E296="",F296="",G299="",H296="",I296="",J296="",K296=""), "",MAX(E296:F296:G296:H296:I296:J296:K296, 0))</f>
        <v/>
      </c>
    </row>
    <row r="297" spans="12:12" x14ac:dyDescent="0.25">
      <c r="L297" s="45" t="str">
        <f>IF(OR(E297="",F297="",G300="",H297="",I297="",J297="",K297=""), "",MAX(E297:F297:G297:H297:I297:J297:K297, 0))</f>
        <v/>
      </c>
    </row>
    <row r="298" spans="12:12" x14ac:dyDescent="0.25">
      <c r="L298" s="45" t="str">
        <f>IF(OR(E298="",F298="",G301="",H298="",I298="",J298="",K298=""), "",MAX(E298:F298:G298:H298:I298:J298:K298, 0))</f>
        <v/>
      </c>
    </row>
    <row r="299" spans="12:12" x14ac:dyDescent="0.25">
      <c r="L299" s="45" t="str">
        <f>IF(OR(E299="",F299="",G302="",H299="",I299="",J299="",K299=""), "",MAX(E299:F299:G299:H299:I299:J299:K299, 0))</f>
        <v/>
      </c>
    </row>
    <row r="300" spans="12:12" x14ac:dyDescent="0.25">
      <c r="L300" s="45" t="str">
        <f>IF(OR(E300="",F300="",G303="",H300="",I300="",J300="",K300=""), "",MAX(E300:F300:G300:H300:I300:J300:K300, 0))</f>
        <v/>
      </c>
    </row>
    <row r="301" spans="12:12" x14ac:dyDescent="0.25">
      <c r="L301" s="45" t="str">
        <f>IF(OR(E301="",F301="",G304="",H301="",I301="",J301="",K301=""), "",MAX(E301:F301:G301:H301:I301:J301:K301, 0))</f>
        <v/>
      </c>
    </row>
    <row r="302" spans="12:12" x14ac:dyDescent="0.25">
      <c r="L302" s="45" t="str">
        <f>IF(OR(E302="",F302="",G305="",H302="",I302="",J302="",K302=""), "",MAX(E302:F302:G302:H302:I302:J302:K302, 0))</f>
        <v/>
      </c>
    </row>
    <row r="303" spans="12:12" x14ac:dyDescent="0.25">
      <c r="L303" s="45" t="str">
        <f>IF(OR(E303="",F303="",G306="",H303="",I303="",J303="",K303=""), "",MAX(E303:F303:G303:H303:I303:J303:K303, 0))</f>
        <v/>
      </c>
    </row>
    <row r="304" spans="12:12" x14ac:dyDescent="0.25">
      <c r="L304" s="45" t="str">
        <f>IF(OR(E304="",F304="",G307="",H304="",I304="",J304="",K304=""), "",MAX(E304:F304:G304:H304:I304:J304:K304, 0))</f>
        <v/>
      </c>
    </row>
    <row r="305" spans="12:12" x14ac:dyDescent="0.25">
      <c r="L305" s="45" t="str">
        <f>IF(OR(E305="",F305="",G308="",H305="",I305="",J305="",K305=""), "",MAX(E305:F305:G305:H305:I305:J305:K305, 0))</f>
        <v/>
      </c>
    </row>
    <row r="306" spans="12:12" x14ac:dyDescent="0.25">
      <c r="L306" s="45" t="str">
        <f>IF(OR(E306="",F306="",G309="",H306="",I306="",J306="",K306=""), "",MAX(E306:F306:G306:H306:I306:J306:K306, 0))</f>
        <v/>
      </c>
    </row>
    <row r="307" spans="12:12" x14ac:dyDescent="0.25">
      <c r="L307" s="45" t="str">
        <f>IF(OR(E307="",F307="",G310="",H307="",I307="",J307="",K307=""), "",MAX(E307:F307:G307:H307:I307:J307:K307, 0))</f>
        <v/>
      </c>
    </row>
    <row r="308" spans="12:12" x14ac:dyDescent="0.25">
      <c r="L308" s="45" t="str">
        <f>IF(OR(E308="",F308="",G311="",H308="",I308="",J308="",K308=""), "",MAX(E308:F308:G308:H308:I308:J308:K308, 0))</f>
        <v/>
      </c>
    </row>
    <row r="309" spans="12:12" x14ac:dyDescent="0.25">
      <c r="L309" s="45" t="str">
        <f>IF(OR(E309="",F309="",G312="",H309="",I309="",J309="",K309=""), "",MAX(E309:F309:G309:H309:I309:J309:K309, 0))</f>
        <v/>
      </c>
    </row>
    <row r="310" spans="12:12" x14ac:dyDescent="0.25">
      <c r="L310" s="45" t="str">
        <f>IF(OR(E310="",F310="",G313="",H310="",I310="",J310="",K310=""), "",MAX(E310:F310:G310:H310:I310:J310:K310, 0))</f>
        <v/>
      </c>
    </row>
    <row r="311" spans="12:12" x14ac:dyDescent="0.25">
      <c r="L311" s="45" t="str">
        <f>IF(OR(E311="",F311="",G314="",H311="",I311="",J311="",K311=""), "",MAX(E311:F311:G311:H311:I311:J311:K311, 0))</f>
        <v/>
      </c>
    </row>
    <row r="312" spans="12:12" x14ac:dyDescent="0.25">
      <c r="L312" s="45" t="str">
        <f>IF(OR(E312="",F312="",G315="",H312="",I312="",J312="",K312=""), "",MAX(E312:F312:G312:H312:I312:J312:K312, 0))</f>
        <v/>
      </c>
    </row>
    <row r="313" spans="12:12" x14ac:dyDescent="0.25">
      <c r="L313" s="45" t="str">
        <f>IF(OR(E313="",F313="",G316="",H313="",I313="",J313="",K313=""), "",MAX(E313:F313:G313:H313:I313:J313:K313, 0))</f>
        <v/>
      </c>
    </row>
    <row r="314" spans="12:12" x14ac:dyDescent="0.25">
      <c r="L314" s="45" t="str">
        <f>IF(OR(E314="",F314="",G317="",H314="",I314="",J314="",K314=""), "",MAX(E314:F314:G314:H314:I314:J314:K314, 0))</f>
        <v/>
      </c>
    </row>
    <row r="315" spans="12:12" x14ac:dyDescent="0.25">
      <c r="L315" s="45" t="str">
        <f>IF(OR(E315="",F315="",G318="",H315="",I315="",J315="",K315=""), "",MAX(E315:F315:G315:H315:I315:J315:K315, 0))</f>
        <v/>
      </c>
    </row>
    <row r="316" spans="12:12" x14ac:dyDescent="0.25">
      <c r="L316" s="45" t="str">
        <f>IF(OR(E316="",F316="",G319="",H316="",I316="",J316="",K316=""), "",MAX(E316:F316:G316:H316:I316:J316:K316, 0))</f>
        <v/>
      </c>
    </row>
    <row r="317" spans="12:12" x14ac:dyDescent="0.25">
      <c r="L317" s="45" t="str">
        <f>IF(OR(E317="",F317="",G320="",H317="",I317="",J317="",K317=""), "",MAX(E317:F317:G317:H317:I317:J317:K317, 0))</f>
        <v/>
      </c>
    </row>
    <row r="318" spans="12:12" x14ac:dyDescent="0.25">
      <c r="L318" s="45" t="str">
        <f>IF(OR(E318="",F318="",G321="",H318="",I318="",J318="",K318=""), "",MAX(E318:F318:G318:H318:I318:J318:K318, 0))</f>
        <v/>
      </c>
    </row>
    <row r="319" spans="12:12" x14ac:dyDescent="0.25">
      <c r="L319" s="45" t="str">
        <f>IF(OR(E319="",F319="",G322="",H319="",I319="",J319="",K319=""), "",MAX(E319:F319:G319:H319:I319:J319:K319, 0))</f>
        <v/>
      </c>
    </row>
    <row r="320" spans="12:12" x14ac:dyDescent="0.25">
      <c r="L320" s="45" t="str">
        <f>IF(OR(E320="",F320="",G323="",H320="",I320="",J320="",K320=""), "",MAX(E320:F320:G320:H320:I320:J320:K320, 0))</f>
        <v/>
      </c>
    </row>
    <row r="321" spans="12:12" x14ac:dyDescent="0.25">
      <c r="L321" s="45" t="str">
        <f>IF(OR(E321="",F321="",G324="",H321="",I321="",J321="",K321=""), "",MAX(E321:F321:G321:H321:I321:J321:K321, 0))</f>
        <v/>
      </c>
    </row>
    <row r="322" spans="12:12" x14ac:dyDescent="0.25">
      <c r="L322" s="45" t="str">
        <f>IF(OR(E322="",F322="",G325="",H322="",I322="",J322="",K322=""), "",MAX(E322:F322:G322:H322:I322:J322:K322, 0))</f>
        <v/>
      </c>
    </row>
    <row r="323" spans="12:12" x14ac:dyDescent="0.25">
      <c r="L323" s="45" t="str">
        <f>IF(OR(E323="",F323="",G326="",H323="",I323="",J323="",K323=""), "",MAX(E323:F323:G323:H323:I323:J323:K323, 0))</f>
        <v/>
      </c>
    </row>
    <row r="324" spans="12:12" x14ac:dyDescent="0.25">
      <c r="L324" s="45" t="str">
        <f>IF(OR(E324="",F324="",G327="",H324="",I324="",J324="",K324=""), "",MAX(E324:F324:G324:H324:I324:J324:K324, 0))</f>
        <v/>
      </c>
    </row>
    <row r="325" spans="12:12" x14ac:dyDescent="0.25">
      <c r="L325" s="45" t="str">
        <f>IF(OR(E325="",F325="",G328="",H325="",I325="",J325="",K325=""), "",MAX(E325:F325:G325:H325:I325:J325:K325, 0))</f>
        <v/>
      </c>
    </row>
    <row r="326" spans="12:12" x14ac:dyDescent="0.25">
      <c r="L326" s="45" t="str">
        <f>IF(OR(E326="",F326="",G329="",H326="",I326="",J326="",K326=""), "",MAX(E326:F326:G326:H326:I326:J326:K326, 0))</f>
        <v/>
      </c>
    </row>
    <row r="327" spans="12:12" x14ac:dyDescent="0.25">
      <c r="L327" s="45" t="str">
        <f>IF(OR(E327="",F327="",G330="",H327="",I327="",J327="",K327=""), "",MAX(E327:F327:G327:H327:I327:J327:K327, 0))</f>
        <v/>
      </c>
    </row>
    <row r="328" spans="12:12" x14ac:dyDescent="0.25">
      <c r="L328" s="45" t="str">
        <f>IF(OR(E328="",F328="",G331="",H328="",I328="",J328="",K328=""), "",MAX(E328:F328:G328:H328:I328:J328:K328, 0))</f>
        <v/>
      </c>
    </row>
    <row r="329" spans="12:12" x14ac:dyDescent="0.25">
      <c r="L329" s="45" t="str">
        <f>IF(OR(E329="",F329="",G332="",H329="",I329="",J329="",K329=""), "",MAX(E329:F329:G329:H329:I329:J329:K329, 0))</f>
        <v/>
      </c>
    </row>
    <row r="330" spans="12:12" x14ac:dyDescent="0.25">
      <c r="L330" s="45" t="str">
        <f>IF(OR(E330="",F330="",G333="",H330="",I330="",J330="",K330=""), "",MAX(E330:F330:G330:H330:I330:J330:K330, 0))</f>
        <v/>
      </c>
    </row>
    <row r="331" spans="12:12" x14ac:dyDescent="0.25">
      <c r="L331" s="45" t="str">
        <f>IF(OR(E331="",F331="",G334="",H331="",I331="",J331="",K331=""), "",MAX(E331:F331:G331:H331:I331:J331:K331, 0))</f>
        <v/>
      </c>
    </row>
    <row r="332" spans="12:12" x14ac:dyDescent="0.25">
      <c r="L332" s="45" t="str">
        <f>IF(OR(E332="",F332="",G335="",H332="",I332="",J332="",K332=""), "",MAX(E332:F332:G332:H332:I332:J332:K332, 0))</f>
        <v/>
      </c>
    </row>
    <row r="333" spans="12:12" x14ac:dyDescent="0.25">
      <c r="L333" s="45" t="str">
        <f>IF(OR(E333="",F333="",G336="",H333="",I333="",J333="",K333=""), "",MAX(E333:F333:G333:H333:I333:J333:K333, 0))</f>
        <v/>
      </c>
    </row>
    <row r="334" spans="12:12" x14ac:dyDescent="0.25">
      <c r="L334" s="45" t="str">
        <f>IF(OR(E334="",F334="",G337="",H334="",I334="",J334="",K334=""), "",MAX(E334:F334:G334:H334:I334:J334:K334, 0))</f>
        <v/>
      </c>
    </row>
    <row r="335" spans="12:12" x14ac:dyDescent="0.25">
      <c r="L335" s="45" t="str">
        <f>IF(OR(E335="",F335="",G338="",H335="",I335="",J335="",K335=""), "",MAX(E335:F335:G335:H335:I335:J335:K335, 0))</f>
        <v/>
      </c>
    </row>
    <row r="336" spans="12:12" x14ac:dyDescent="0.25">
      <c r="L336" s="45" t="str">
        <f>IF(OR(E336="",F336="",G339="",H336="",I336="",J336="",K336=""), "",MAX(E336:F336:G336:H336:I336:J336:K336, 0))</f>
        <v/>
      </c>
    </row>
    <row r="337" spans="12:12" x14ac:dyDescent="0.25">
      <c r="L337" s="45" t="str">
        <f>IF(OR(E337="",F337="",G340="",H337="",I337="",J337="",K337=""), "",MAX(E337:F337:G337:H337:I337:J337:K337, 0))</f>
        <v/>
      </c>
    </row>
    <row r="338" spans="12:12" x14ac:dyDescent="0.25">
      <c r="L338" s="45" t="str">
        <f>IF(OR(E338="",F338="",G341="",H338="",I338="",J338="",K338=""), "",MAX(E338:F338:G338:H338:I338:J338:K338, 0))</f>
        <v/>
      </c>
    </row>
    <row r="339" spans="12:12" x14ac:dyDescent="0.25">
      <c r="L339" s="45" t="str">
        <f>IF(OR(E339="",F339="",G342="",H339="",I339="",J339="",K339=""), "",MAX(E339:F339:G339:H339:I339:J339:K339, 0))</f>
        <v/>
      </c>
    </row>
    <row r="340" spans="12:12" x14ac:dyDescent="0.25">
      <c r="L340" s="45" t="str">
        <f>IF(OR(E340="",F340="",G343="",H340="",I340="",J340="",K340=""), "",MAX(E340:F340:G340:H340:I340:J340:K340, 0))</f>
        <v/>
      </c>
    </row>
    <row r="341" spans="12:12" x14ac:dyDescent="0.25">
      <c r="L341" s="45" t="str">
        <f>IF(OR(E341="",F341="",G344="",H341="",I341="",J341="",K341=""), "",MAX(E341:F341:G341:H341:I341:J341:K341, 0))</f>
        <v/>
      </c>
    </row>
    <row r="342" spans="12:12" x14ac:dyDescent="0.25">
      <c r="L342" s="45" t="str">
        <f>IF(OR(E342="",F342="",G345="",H342="",I342="",J342="",K342=""), "",MAX(E342:F342:G342:H342:I342:J342:K342, 0))</f>
        <v/>
      </c>
    </row>
    <row r="343" spans="12:12" x14ac:dyDescent="0.25">
      <c r="L343" s="45" t="str">
        <f>IF(OR(E343="",F343="",G346="",H343="",I343="",J343="",K343=""), "",MAX(E343:F343:G343:H343:I343:J343:K343, 0))</f>
        <v/>
      </c>
    </row>
    <row r="344" spans="12:12" x14ac:dyDescent="0.25">
      <c r="L344" s="45" t="str">
        <f>IF(OR(E344="",F344="",G347="",H344="",I344="",J344="",K344=""), "",MAX(E344:F344:G344:H344:I344:J344:K344, 0))</f>
        <v/>
      </c>
    </row>
    <row r="345" spans="12:12" x14ac:dyDescent="0.25">
      <c r="L345" s="45" t="str">
        <f>IF(OR(E345="",F345="",G348="",H345="",I345="",J345="",K345=""), "",MAX(E345:F345:G345:H345:I345:J345:K345, 0))</f>
        <v/>
      </c>
    </row>
    <row r="346" spans="12:12" x14ac:dyDescent="0.25">
      <c r="L346" s="45" t="str">
        <f>IF(OR(E346="",F346="",G349="",H346="",I346="",J346="",K346=""), "",MAX(E346:F346:G346:H346:I346:J346:K346, 0))</f>
        <v/>
      </c>
    </row>
    <row r="347" spans="12:12" x14ac:dyDescent="0.25">
      <c r="L347" s="45" t="str">
        <f>IF(OR(E347="",F347="",G350="",H347="",I347="",J347="",K347=""), "",MAX(E347:F347:G347:H347:I347:J347:K347, 0))</f>
        <v/>
      </c>
    </row>
    <row r="348" spans="12:12" x14ac:dyDescent="0.25">
      <c r="L348" s="45" t="str">
        <f>IF(OR(E348="",F348="",G351="",H348="",I348="",J348="",K348=""), "",MAX(E348:F348:G348:H348:I348:J348:K348, 0))</f>
        <v/>
      </c>
    </row>
    <row r="349" spans="12:12" x14ac:dyDescent="0.25">
      <c r="L349" s="45" t="str">
        <f>IF(OR(E349="",F349="",G352="",H349="",I349="",J349="",K349=""), "",MAX(E349:F349:G349:H349:I349:J349:K349, 0))</f>
        <v/>
      </c>
    </row>
    <row r="350" spans="12:12" x14ac:dyDescent="0.25">
      <c r="L350" s="45" t="str">
        <f>IF(OR(E350="",F350="",G353="",H350="",I350="",J350="",K350=""), "",MAX(E350:F350:G350:H350:I350:J350:K350, 0))</f>
        <v/>
      </c>
    </row>
    <row r="351" spans="12:12" x14ac:dyDescent="0.25">
      <c r="L351" s="45" t="str">
        <f>IF(OR(E351="",F351="",G354="",H351="",I351="",J351="",K351=""), "",MAX(E351:F351:G351:H351:I351:J351:K351, 0))</f>
        <v/>
      </c>
    </row>
    <row r="352" spans="12:12" x14ac:dyDescent="0.25">
      <c r="L352" s="45" t="str">
        <f>IF(OR(E352="",F352="",G355="",H352="",I352="",J352="",K352=""), "",MAX(E352:F352:G352:H352:I352:J352:K352, 0))</f>
        <v/>
      </c>
    </row>
    <row r="353" spans="12:12" x14ac:dyDescent="0.25">
      <c r="L353" s="45" t="str">
        <f>IF(OR(E353="",F353="",G356="",H353="",I353="",J353="",K353=""), "",MAX(E353:F353:G353:H353:I353:J353:K353, 0))</f>
        <v/>
      </c>
    </row>
    <row r="354" spans="12:12" x14ac:dyDescent="0.25">
      <c r="L354" s="45" t="str">
        <f>IF(OR(E354="",F354="",G357="",H354="",I354="",J354="",K354=""), "",MAX(E354:F354:G354:H354:I354:J354:K354, 0))</f>
        <v/>
      </c>
    </row>
    <row r="355" spans="12:12" x14ac:dyDescent="0.25">
      <c r="L355" s="45" t="str">
        <f>IF(OR(E355="",F355="",G358="",H355="",I355="",J355="",K355=""), "",MAX(E355:F355:G355:H355:I355:J355:K355, 0))</f>
        <v/>
      </c>
    </row>
    <row r="356" spans="12:12" x14ac:dyDescent="0.25">
      <c r="L356" s="45" t="str">
        <f>IF(OR(E356="",F356="",G359="",H356="",I356="",J356="",K356=""), "",MAX(E356:F356:G356:H356:I356:J356:K356, 0))</f>
        <v/>
      </c>
    </row>
    <row r="357" spans="12:12" x14ac:dyDescent="0.25">
      <c r="L357" s="45" t="str">
        <f>IF(OR(E357="",F357="",G360="",H357="",I357="",J357="",K357=""), "",MAX(E357:F357:G357:H357:I357:J357:K357, 0))</f>
        <v/>
      </c>
    </row>
    <row r="358" spans="12:12" x14ac:dyDescent="0.25">
      <c r="L358" s="45" t="str">
        <f>IF(OR(E358="",F358="",G361="",H358="",I358="",J358="",K358=""), "",MAX(E358:F358:G358:H358:I358:J358:K358, 0))</f>
        <v/>
      </c>
    </row>
    <row r="359" spans="12:12" x14ac:dyDescent="0.25">
      <c r="L359" s="45" t="str">
        <f>IF(OR(E359="",F359="",G362="",H359="",I359="",J359="",K359=""), "",MAX(E359:F359:G359:H359:I359:J359:K359, 0))</f>
        <v/>
      </c>
    </row>
    <row r="360" spans="12:12" x14ac:dyDescent="0.25">
      <c r="L360" s="45" t="str">
        <f>IF(OR(E360="",F360="",G363="",H360="",I360="",J360="",K360=""), "",MAX(E360:F360:G360:H360:I360:J360:K360, 0))</f>
        <v/>
      </c>
    </row>
    <row r="361" spans="12:12" x14ac:dyDescent="0.25">
      <c r="L361" s="45" t="str">
        <f>IF(OR(E361="",F361="",G364="",H361="",I361="",J361="",K361=""), "",MAX(E361:F361:G361:H361:I361:J361:K361, 0))</f>
        <v/>
      </c>
    </row>
    <row r="362" spans="12:12" x14ac:dyDescent="0.25">
      <c r="L362" s="45" t="str">
        <f>IF(OR(E362="",F362="",G365="",H362="",I362="",J362="",K362=""), "",MAX(E362:F362:G362:H362:I362:J362:K362, 0))</f>
        <v/>
      </c>
    </row>
    <row r="363" spans="12:12" x14ac:dyDescent="0.25">
      <c r="L363" s="45" t="str">
        <f>IF(OR(E363="",F363="",G366="",H363="",I363="",J363="",K363=""), "",MAX(E363:F363:G363:H363:I363:J363:K363, 0))</f>
        <v/>
      </c>
    </row>
    <row r="364" spans="12:12" x14ac:dyDescent="0.25">
      <c r="L364" s="45" t="str">
        <f>IF(OR(E364="",F364="",G367="",H364="",I364="",J364="",K364=""), "",MAX(E364:F364:G364:H364:I364:J364:K364, 0))</f>
        <v/>
      </c>
    </row>
    <row r="365" spans="12:12" x14ac:dyDescent="0.25">
      <c r="L365" s="45" t="str">
        <f>IF(OR(E365="",F365="",G368="",H365="",I365="",J365="",K365=""), "",MAX(E365:F365:G365:H365:I365:J365:K365, 0))</f>
        <v/>
      </c>
    </row>
    <row r="366" spans="12:12" x14ac:dyDescent="0.25">
      <c r="L366" s="45" t="str">
        <f>IF(OR(E366="",F366="",G369="",H366="",I366="",J366="",K366=""), "",MAX(E366:F366:G366:H366:I366:J366:K366, 0))</f>
        <v/>
      </c>
    </row>
    <row r="367" spans="12:12" x14ac:dyDescent="0.25">
      <c r="L367" s="45" t="str">
        <f>IF(OR(E367="",F367="",G370="",H367="",I367="",J367="",K367=""), "",MAX(E367:F367:G367:H367:I367:J367:K367, 0))</f>
        <v/>
      </c>
    </row>
    <row r="368" spans="12:12" x14ac:dyDescent="0.25">
      <c r="L368" s="45" t="str">
        <f>IF(OR(E368="",F368="",G371="",H368="",I368="",J368="",K368=""), "",MAX(E368:F368:G368:H368:I368:J368:K368, 0))</f>
        <v/>
      </c>
    </row>
    <row r="369" spans="12:12" x14ac:dyDescent="0.25">
      <c r="L369" s="45" t="str">
        <f>IF(OR(E369="",F369="",G372="",H369="",I369="",J369="",K369=""), "",MAX(E369:F369:G369:H369:I369:J369:K369, 0))</f>
        <v/>
      </c>
    </row>
    <row r="370" spans="12:12" x14ac:dyDescent="0.25">
      <c r="L370" s="45" t="str">
        <f>IF(OR(E370="",F370="",G373="",H370="",I370="",J370="",K370=""), "",MAX(E370:F370:G370:H370:I370:J370:K370, 0))</f>
        <v/>
      </c>
    </row>
    <row r="371" spans="12:12" x14ac:dyDescent="0.25">
      <c r="L371" s="45" t="str">
        <f>IF(OR(E371="",F371="",G374="",H371="",I371="",J371="",K371=""), "",MAX(E371:F371:G371:H371:I371:J371:K371, 0))</f>
        <v/>
      </c>
    </row>
    <row r="372" spans="12:12" x14ac:dyDescent="0.25">
      <c r="L372" s="45" t="str">
        <f>IF(OR(E372="",F372="",G375="",H372="",I372="",J372="",K372=""), "",MAX(E372:F372:G372:H372:I372:J372:K372, 0))</f>
        <v/>
      </c>
    </row>
    <row r="373" spans="12:12" x14ac:dyDescent="0.25">
      <c r="L373" s="45" t="str">
        <f>IF(OR(E373="",F373="",G376="",H373="",I373="",J373="",K373=""), "",MAX(E373:F373:G373:H373:I373:J373:K373, 0))</f>
        <v/>
      </c>
    </row>
    <row r="374" spans="12:12" x14ac:dyDescent="0.25">
      <c r="L374" s="45" t="str">
        <f>IF(OR(E374="",F374="",G377="",H374="",I374="",J374="",K374=""), "",MAX(E374:F374:G374:H374:I374:J374:K374, 0))</f>
        <v/>
      </c>
    </row>
    <row r="375" spans="12:12" x14ac:dyDescent="0.25">
      <c r="L375" s="45" t="str">
        <f>IF(OR(E375="",F375="",G378="",H375="",I375="",J375="",K375=""), "",MAX(E375:F375:G375:H375:I375:J375:K375, 0))</f>
        <v/>
      </c>
    </row>
    <row r="376" spans="12:12" x14ac:dyDescent="0.25">
      <c r="L376" s="45" t="str">
        <f>IF(OR(E376="",F376="",G379="",H376="",I376="",J376="",K376=""), "",MAX(E376:F376:G376:H376:I376:J376:K376, 0))</f>
        <v/>
      </c>
    </row>
    <row r="377" spans="12:12" x14ac:dyDescent="0.25">
      <c r="L377" s="45" t="str">
        <f>IF(OR(E377="",F377="",G380="",H377="",I377="",J377="",K377=""), "",MAX(E377:F377:G377:H377:I377:J377:K377, 0))</f>
        <v/>
      </c>
    </row>
    <row r="378" spans="12:12" x14ac:dyDescent="0.25">
      <c r="L378" s="45" t="str">
        <f>IF(OR(E378="",F378="",G381="",H378="",I378="",J378="",K378=""), "",MAX(E378:F378:G378:H378:I378:J378:K378, 0))</f>
        <v/>
      </c>
    </row>
    <row r="379" spans="12:12" x14ac:dyDescent="0.25">
      <c r="L379" s="45" t="str">
        <f>IF(OR(E379="",F379="",G382="",H379="",I379="",J379="",K379=""), "",MAX(E379:F379:G379:H379:I379:J379:K379, 0))</f>
        <v/>
      </c>
    </row>
    <row r="380" spans="12:12" x14ac:dyDescent="0.25">
      <c r="L380" s="45" t="str">
        <f>IF(OR(E380="",F380="",G383="",H380="",I380="",J380="",K380=""), "",MAX(E380:F380:G380:H380:I380:J380:K380, 0))</f>
        <v/>
      </c>
    </row>
    <row r="381" spans="12:12" x14ac:dyDescent="0.25">
      <c r="L381" s="45" t="str">
        <f>IF(OR(E381="",F381="",G384="",H381="",I381="",J381="",K381=""), "",MAX(E381:F381:G381:H381:I381:J381:K381, 0))</f>
        <v/>
      </c>
    </row>
    <row r="382" spans="12:12" x14ac:dyDescent="0.25">
      <c r="L382" s="45" t="str">
        <f>IF(OR(E382="",F382="",G385="",H382="",I382="",J382="",K382=""), "",MAX(E382:F382:G382:H382:I382:J382:K382, 0))</f>
        <v/>
      </c>
    </row>
    <row r="383" spans="12:12" x14ac:dyDescent="0.25">
      <c r="L383" s="45" t="str">
        <f>IF(OR(E383="",F383="",G386="",H383="",I383="",J383="",K383=""), "",MAX(E383:F383:G383:H383:I383:J383:K383, 0))</f>
        <v/>
      </c>
    </row>
    <row r="384" spans="12:12" x14ac:dyDescent="0.25">
      <c r="L384" s="45" t="str">
        <f>IF(OR(E384="",F384="",G387="",H384="",I384="",J384="",K384=""), "",MAX(E384:F384:G384:H384:I384:J384:K384, 0))</f>
        <v/>
      </c>
    </row>
    <row r="385" spans="12:12" x14ac:dyDescent="0.25">
      <c r="L385" s="45" t="str">
        <f>IF(OR(E385="",F385="",G388="",H385="",I385="",J385="",K385=""), "",MAX(E385:F385:G385:H385:I385:J385:K385, 0))</f>
        <v/>
      </c>
    </row>
    <row r="386" spans="12:12" x14ac:dyDescent="0.25">
      <c r="L386" s="45" t="str">
        <f>IF(OR(E386="",F386="",G389="",H386="",I386="",J386="",K386=""), "",MAX(E386:F386:G386:H386:I386:J386:K386, 0))</f>
        <v/>
      </c>
    </row>
    <row r="387" spans="12:12" x14ac:dyDescent="0.25">
      <c r="L387" s="45" t="str">
        <f>IF(OR(E387="",F387="",G390="",H387="",I387="",J387="",K387=""), "",MAX(E387:F387:G387:H387:I387:J387:K387, 0))</f>
        <v/>
      </c>
    </row>
    <row r="388" spans="12:12" x14ac:dyDescent="0.25">
      <c r="L388" s="45" t="str">
        <f>IF(OR(E388="",F388="",G391="",H388="",I388="",J388="",K388=""), "",MAX(E388:F388:G388:H388:I388:J388:K388, 0))</f>
        <v/>
      </c>
    </row>
    <row r="389" spans="12:12" x14ac:dyDescent="0.25">
      <c r="L389" s="45" t="str">
        <f>IF(OR(E389="",F389="",G392="",H389="",I389="",J389="",K389=""), "",MAX(E389:F389:G389:H389:I389:J389:K389, 0))</f>
        <v/>
      </c>
    </row>
    <row r="390" spans="12:12" x14ac:dyDescent="0.25">
      <c r="L390" s="45" t="str">
        <f>IF(OR(E390="",F390="",G393="",H390="",I390="",J390="",K390=""), "",MAX(E390:F390:G390:H390:I390:J390:K390, 0))</f>
        <v/>
      </c>
    </row>
    <row r="391" spans="12:12" x14ac:dyDescent="0.25">
      <c r="L391" s="45" t="str">
        <f>IF(OR(E391="",F391="",G394="",H391="",I391="",J391="",K391=""), "",MAX(E391:F391:G391:H391:I391:J391:K391, 0))</f>
        <v/>
      </c>
    </row>
    <row r="392" spans="12:12" x14ac:dyDescent="0.25">
      <c r="L392" s="45" t="str">
        <f>IF(OR(E392="",F392="",G395="",H392="",I392="",J392="",K392=""), "",MAX(E392:F392:G392:H392:I392:J392:K392, 0))</f>
        <v/>
      </c>
    </row>
    <row r="393" spans="12:12" x14ac:dyDescent="0.25">
      <c r="L393" s="45" t="str">
        <f>IF(OR(E393="",F393="",G396="",H393="",I393="",J393="",K393=""), "",MAX(E393:F393:G393:H393:I393:J393:K393, 0))</f>
        <v/>
      </c>
    </row>
    <row r="394" spans="12:12" x14ac:dyDescent="0.25">
      <c r="L394" s="45" t="str">
        <f>IF(OR(E394="",F394="",G397="",H394="",I394="",J394="",K394=""), "",MAX(E394:F394:G394:H394:I394:J394:K394, 0))</f>
        <v/>
      </c>
    </row>
    <row r="395" spans="12:12" x14ac:dyDescent="0.25">
      <c r="L395" s="45" t="str">
        <f>IF(OR(E395="",F395="",G398="",H395="",I395="",J395="",K395=""), "",MAX(E395:F395:G395:H395:I395:J395:K395, 0))</f>
        <v/>
      </c>
    </row>
    <row r="396" spans="12:12" x14ac:dyDescent="0.25">
      <c r="L396" s="45" t="str">
        <f>IF(OR(E396="",F396="",G399="",H396="",I396="",J396="",K396=""), "",MAX(E396:F396:G396:H396:I396:J396:K396, 0))</f>
        <v/>
      </c>
    </row>
    <row r="397" spans="12:12" x14ac:dyDescent="0.25">
      <c r="L397" s="45" t="str">
        <f>IF(OR(E397="",F397="",G400="",H397="",I397="",J397="",K397=""), "",MAX(E397:F397:G397:H397:I397:J397:K397, 0))</f>
        <v/>
      </c>
    </row>
    <row r="398" spans="12:12" x14ac:dyDescent="0.25">
      <c r="L398" s="45" t="str">
        <f>IF(OR(E398="",F398="",G401="",H398="",I398="",J398="",K398=""), "",MAX(E398:F398:G398:H398:I398:J398:K398, 0))</f>
        <v/>
      </c>
    </row>
    <row r="399" spans="12:12" x14ac:dyDescent="0.25">
      <c r="L399" s="45" t="str">
        <f>IF(OR(E399="",F399="",G402="",H399="",I399="",J399="",K399=""), "",MAX(E399:F399:G399:H399:I399:J399:K399, 0))</f>
        <v/>
      </c>
    </row>
    <row r="400" spans="12:12" x14ac:dyDescent="0.25">
      <c r="L400" s="45" t="str">
        <f>IF(OR(E400="",F400="",G403="",H400="",I400="",J400="",K400=""), "",MAX(E400:F400:G400:H400:I400:J400:K400, 0))</f>
        <v/>
      </c>
    </row>
    <row r="401" spans="12:12" x14ac:dyDescent="0.25">
      <c r="L401" s="45" t="str">
        <f>IF(OR(E401="",F401="",G404="",H401="",I401="",J401="",K401=""), "",MAX(E401:F401:G401:H401:I401:J401:K401, 0))</f>
        <v/>
      </c>
    </row>
    <row r="402" spans="12:12" x14ac:dyDescent="0.25">
      <c r="L402" s="45" t="str">
        <f>IF(OR(E402="",F402="",G405="",H402="",I402="",J402="",K402=""), "",MAX(E402:F402:G402:H402:I402:J402:K402, 0))</f>
        <v/>
      </c>
    </row>
    <row r="403" spans="12:12" x14ac:dyDescent="0.25">
      <c r="L403" s="45" t="str">
        <f>IF(OR(E403="",F403="",G406="",H403="",I403="",J403="",K403=""), "",MAX(E403:F403:G403:H403:I403:J403:K403, 0))</f>
        <v/>
      </c>
    </row>
    <row r="404" spans="12:12" x14ac:dyDescent="0.25">
      <c r="L404" s="45" t="str">
        <f>IF(OR(E404="",F404="",G407="",H404="",I404="",J404="",K404=""), "",MAX(E404:F404:G404:H404:I404:J404:K404, 0))</f>
        <v/>
      </c>
    </row>
    <row r="405" spans="12:12" x14ac:dyDescent="0.25">
      <c r="L405" s="45" t="str">
        <f>IF(OR(E405="",F405="",G408="",H405="",I405="",J405="",K405=""), "",MAX(E405:F405:G405:H405:I405:J405:K405, 0))</f>
        <v/>
      </c>
    </row>
    <row r="406" spans="12:12" x14ac:dyDescent="0.25">
      <c r="L406" s="45" t="str">
        <f>IF(OR(E406="",F406="",G409="",H406="",I406="",J406="",K406=""), "",MAX(E406:F406:G406:H406:I406:J406:K406, 0))</f>
        <v/>
      </c>
    </row>
    <row r="407" spans="12:12" x14ac:dyDescent="0.25">
      <c r="L407" s="45" t="str">
        <f>IF(OR(E407="",F407="",G410="",H407="",I407="",J407="",K407=""), "",MAX(E407:F407:G407:H407:I407:J407:K407, 0))</f>
        <v/>
      </c>
    </row>
    <row r="408" spans="12:12" x14ac:dyDescent="0.25">
      <c r="L408" s="45" t="str">
        <f>IF(OR(E408="",F408="",G411="",H408="",I408="",J408="",K408=""), "",MAX(E408:F408:G408:H408:I408:J408:K408, 0))</f>
        <v/>
      </c>
    </row>
    <row r="409" spans="12:12" x14ac:dyDescent="0.25">
      <c r="L409" s="45" t="str">
        <f>IF(OR(E409="",F409="",G412="",H409="",I409="",J409="",K409=""), "",MAX(E409:F409:G409:H409:I409:J409:K409, 0))</f>
        <v/>
      </c>
    </row>
    <row r="410" spans="12:12" x14ac:dyDescent="0.25">
      <c r="L410" s="45" t="str">
        <f>IF(OR(E410="",F410="",G413="",H410="",I410="",J410="",K410=""), "",MAX(E410:F410:G410:H410:I410:J410:K410, 0))</f>
        <v/>
      </c>
    </row>
    <row r="411" spans="12:12" x14ac:dyDescent="0.25">
      <c r="L411" s="45" t="str">
        <f>IF(OR(E411="",F411="",G414="",H411="",I411="",J411="",K411=""), "",MAX(E411:F411:G411:H411:I411:J411:K411, 0))</f>
        <v/>
      </c>
    </row>
    <row r="412" spans="12:12" x14ac:dyDescent="0.25">
      <c r="L412" s="45" t="str">
        <f>IF(OR(E412="",F412="",G415="",H412="",I412="",J412="",K412=""), "",MAX(E412:F412:G412:H412:I412:J412:K412, 0))</f>
        <v/>
      </c>
    </row>
    <row r="413" spans="12:12" x14ac:dyDescent="0.25">
      <c r="L413" s="45" t="str">
        <f>IF(OR(E413="",F413="",G416="",H413="",I413="",J413="",K413=""), "",MAX(E413:F413:G413:H413:I413:J413:K413, 0))</f>
        <v/>
      </c>
    </row>
    <row r="414" spans="12:12" x14ac:dyDescent="0.25">
      <c r="L414" s="45" t="str">
        <f>IF(OR(E414="",F414="",G417="",H414="",I414="",J414="",K414=""), "",MAX(E414:F414:G414:H414:I414:J414:K414, 0))</f>
        <v/>
      </c>
    </row>
    <row r="415" spans="12:12" x14ac:dyDescent="0.25">
      <c r="L415" s="45" t="str">
        <f>IF(OR(E415="",F415="",G418="",H415="",I415="",J415="",K415=""), "",MAX(E415:F415:G415:H415:I415:J415:K415, 0))</f>
        <v/>
      </c>
    </row>
    <row r="416" spans="12:12" x14ac:dyDescent="0.25">
      <c r="L416" s="45" t="str">
        <f>IF(OR(E416="",F416="",G419="",H416="",I416="",J416="",K416=""), "",MAX(E416:F416:G416:H416:I416:J416:K416, 0))</f>
        <v/>
      </c>
    </row>
    <row r="417" spans="12:12" x14ac:dyDescent="0.25">
      <c r="L417" s="45" t="str">
        <f>IF(OR(E417="",F417="",G420="",H417="",I417="",J417="",K417=""), "",MAX(E417:F417:G417:H417:I417:J417:K417, 0))</f>
        <v/>
      </c>
    </row>
    <row r="418" spans="12:12" x14ac:dyDescent="0.25">
      <c r="L418" s="45" t="str">
        <f>IF(OR(E418="",F418="",G421="",H418="",I418="",J418="",K418=""), "",MAX(E418:F418:G418:H418:I418:J418:K418, 0))</f>
        <v/>
      </c>
    </row>
    <row r="419" spans="12:12" x14ac:dyDescent="0.25">
      <c r="L419" s="45" t="str">
        <f>IF(OR(E419="",F419="",G422="",H419="",I419="",J419="",K419=""), "",MAX(E419:F419:G419:H419:I419:J419:K419, 0))</f>
        <v/>
      </c>
    </row>
    <row r="420" spans="12:12" x14ac:dyDescent="0.25">
      <c r="L420" s="45" t="str">
        <f>IF(OR(E420="",F420="",G423="",H420="",I420="",J420="",K420=""), "",MAX(E420:F420:G420:H420:I420:J420:K420, 0))</f>
        <v/>
      </c>
    </row>
    <row r="421" spans="12:12" x14ac:dyDescent="0.25">
      <c r="L421" s="45" t="str">
        <f>IF(OR(E421="",F421="",G424="",H421="",I421="",J421="",K421=""), "",MAX(E421:F421:G421:H421:I421:J421:K421, 0))</f>
        <v/>
      </c>
    </row>
    <row r="422" spans="12:12" x14ac:dyDescent="0.25">
      <c r="L422" s="45" t="str">
        <f>IF(OR(E422="",F422="",G425="",H422="",I422="",J422="",K422=""), "",MAX(E422:F422:G422:H422:I422:J422:K422, 0))</f>
        <v/>
      </c>
    </row>
    <row r="423" spans="12:12" x14ac:dyDescent="0.25">
      <c r="L423" s="45" t="str">
        <f>IF(OR(E423="",F423="",G426="",H423="",I423="",J423="",K423=""), "",MAX(E423:F423:G423:H423:I423:J423:K423, 0))</f>
        <v/>
      </c>
    </row>
    <row r="424" spans="12:12" x14ac:dyDescent="0.25">
      <c r="L424" s="45" t="str">
        <f>IF(OR(E424="",F424="",G427="",H424="",I424="",J424="",K424=""), "",MAX(E424:F424:G424:H424:I424:J424:K424, 0))</f>
        <v/>
      </c>
    </row>
    <row r="425" spans="12:12" x14ac:dyDescent="0.25">
      <c r="L425" s="45" t="str">
        <f>IF(OR(E425="",F425="",G428="",H425="",I425="",J425="",K425=""), "",MAX(E425:F425:G425:H425:I425:J425:K425, 0))</f>
        <v/>
      </c>
    </row>
    <row r="426" spans="12:12" x14ac:dyDescent="0.25">
      <c r="L426" s="45" t="str">
        <f>IF(OR(E426="",F426="",G429="",H426="",I426="",J426="",K426=""), "",MAX(E426:F426:G426:H426:I426:J426:K426, 0))</f>
        <v/>
      </c>
    </row>
    <row r="427" spans="12:12" x14ac:dyDescent="0.25">
      <c r="L427" s="45" t="str">
        <f>IF(OR(E427="",F427="",G430="",H427="",I427="",J427="",K427=""), "",MAX(E427:F427:G427:H427:I427:J427:K427, 0))</f>
        <v/>
      </c>
    </row>
    <row r="428" spans="12:12" x14ac:dyDescent="0.25">
      <c r="L428" s="45" t="str">
        <f>IF(OR(E428="",F428="",G431="",H428="",I428="",J428="",K428=""), "",MAX(E428:F428:G428:H428:I428:J428:K428, 0))</f>
        <v/>
      </c>
    </row>
    <row r="429" spans="12:12" x14ac:dyDescent="0.25">
      <c r="L429" s="45" t="str">
        <f>IF(OR(E429="",F429="",G432="",H429="",I429="",J429="",K429=""), "",MAX(E429:F429:G429:H429:I429:J429:K429, 0))</f>
        <v/>
      </c>
    </row>
    <row r="430" spans="12:12" x14ac:dyDescent="0.25">
      <c r="L430" s="45" t="str">
        <f>IF(OR(E430="",F430="",G433="",H430="",I430="",J430="",K430=""), "",MAX(E430:F430:G430:H430:I430:J430:K430, 0))</f>
        <v/>
      </c>
    </row>
    <row r="431" spans="12:12" x14ac:dyDescent="0.25">
      <c r="L431" s="45" t="str">
        <f>IF(OR(E431="",F431="",G434="",H431="",I431="",J431="",K431=""), "",MAX(E431:F431:G431:H431:I431:J431:K431, 0))</f>
        <v/>
      </c>
    </row>
    <row r="432" spans="12:12" x14ac:dyDescent="0.25">
      <c r="L432" s="45" t="str">
        <f>IF(OR(E432="",F432="",G435="",H432="",I432="",J432="",K432=""), "",MAX(E432:F432:G432:H432:I432:J432:K432, 0))</f>
        <v/>
      </c>
    </row>
    <row r="433" spans="12:12" x14ac:dyDescent="0.25">
      <c r="L433" s="45" t="str">
        <f>IF(OR(E433="",F433="",G436="",H433="",I433="",J433="",K433=""), "",MAX(E433:F433:G433:H433:I433:J433:K433, 0))</f>
        <v/>
      </c>
    </row>
    <row r="434" spans="12:12" x14ac:dyDescent="0.25">
      <c r="L434" s="45" t="str">
        <f>IF(OR(E434="",F434="",G437="",H434="",I434="",J434="",K434=""), "",MAX(E434:F434:G434:H434:I434:J434:K434, 0))</f>
        <v/>
      </c>
    </row>
    <row r="435" spans="12:12" x14ac:dyDescent="0.25">
      <c r="L435" s="45" t="str">
        <f>IF(OR(E435="",F435="",G438="",H435="",I435="",J435="",K435=""), "",MAX(E435:F435:G435:H435:I435:J435:K435, 0))</f>
        <v/>
      </c>
    </row>
    <row r="436" spans="12:12" x14ac:dyDescent="0.25">
      <c r="L436" s="45" t="str">
        <f>IF(OR(E436="",F436="",G439="",H436="",I436="",J436="",K436=""), "",MAX(E436:F436:G436:H436:I436:J436:K436, 0))</f>
        <v/>
      </c>
    </row>
    <row r="437" spans="12:12" x14ac:dyDescent="0.25">
      <c r="L437" s="45" t="str">
        <f>IF(OR(E437="",F437="",G440="",H437="",I437="",J437="",K437=""), "",MAX(E437:F437:G437:H437:I437:J437:K437, 0))</f>
        <v/>
      </c>
    </row>
    <row r="438" spans="12:12" x14ac:dyDescent="0.25">
      <c r="L438" s="45" t="str">
        <f>IF(OR(E438="",F438="",G441="",H438="",I438="",J438="",K438=""), "",MAX(E438:F438:G438:H438:I438:J438:K438, 0))</f>
        <v/>
      </c>
    </row>
    <row r="439" spans="12:12" x14ac:dyDescent="0.25">
      <c r="L439" s="45" t="str">
        <f>IF(OR(E439="",F439="",G442="",H439="",I439="",J439="",K439=""), "",MAX(E439:F439:G439:H439:I439:J439:K439, 0))</f>
        <v/>
      </c>
    </row>
    <row r="440" spans="12:12" x14ac:dyDescent="0.25">
      <c r="L440" s="45" t="str">
        <f>IF(OR(E440="",F440="",G443="",H440="",I440="",J440="",K440=""), "",MAX(E440:F440:G440:H440:I440:J440:K440, 0))</f>
        <v/>
      </c>
    </row>
    <row r="441" spans="12:12" x14ac:dyDescent="0.25">
      <c r="L441" s="45" t="str">
        <f>IF(OR(E441="",F441="",G444="",H441="",I441="",J441="",K441=""), "",MAX(E441:F441:G441:H441:I441:J441:K441, 0))</f>
        <v/>
      </c>
    </row>
    <row r="442" spans="12:12" x14ac:dyDescent="0.25">
      <c r="L442" s="45" t="str">
        <f>IF(OR(E442="",F442="",G445="",H442="",I442="",J442="",K442=""), "",MAX(E442:F442:G442:H442:I442:J442:K442, 0))</f>
        <v/>
      </c>
    </row>
    <row r="443" spans="12:12" x14ac:dyDescent="0.25">
      <c r="L443" s="45" t="str">
        <f>IF(OR(E443="",F443="",G446="",H443="",I443="",J443="",K443=""), "",MAX(E443:F443:G443:H443:I443:J443:K443, 0))</f>
        <v/>
      </c>
    </row>
    <row r="444" spans="12:12" x14ac:dyDescent="0.25">
      <c r="L444" s="45" t="str">
        <f>IF(OR(E444="",F444="",G447="",H444="",I444="",J444="",K444=""), "",MAX(E444:F444:G444:H444:I444:J444:K444, 0))</f>
        <v/>
      </c>
    </row>
    <row r="445" spans="12:12" x14ac:dyDescent="0.25">
      <c r="L445" s="45" t="str">
        <f>IF(OR(E445="",F445="",G448="",H445="",I445="",J445="",K445=""), "",MAX(E445:F445:G445:H445:I445:J445:K445, 0))</f>
        <v/>
      </c>
    </row>
    <row r="446" spans="12:12" x14ac:dyDescent="0.25">
      <c r="L446" s="45" t="str">
        <f>IF(OR(E446="",F446="",G449="",H446="",I446="",J446="",K446=""), "",MAX(E446:F446:G446:H446:I446:J446:K446, 0))</f>
        <v/>
      </c>
    </row>
    <row r="447" spans="12:12" x14ac:dyDescent="0.25">
      <c r="L447" s="45" t="str">
        <f>IF(OR(E447="",F447="",G450="",H447="",I447="",J447="",K447=""), "",MAX(E447:F447:G447:H447:I447:J447:K447, 0))</f>
        <v/>
      </c>
    </row>
    <row r="448" spans="12:12" x14ac:dyDescent="0.25">
      <c r="L448" s="45" t="str">
        <f>IF(OR(E448="",F448="",G451="",H448="",I448="",J448="",K448=""), "",MAX(E448:F448:G448:H448:I448:J448:K448, 0))</f>
        <v/>
      </c>
    </row>
    <row r="449" spans="12:12" x14ac:dyDescent="0.25">
      <c r="L449" s="45" t="str">
        <f>IF(OR(E449="",F449="",G452="",H449="",I449="",J449="",K449=""), "",MAX(E449:F449:G449:H449:I449:J449:K449, 0))</f>
        <v/>
      </c>
    </row>
    <row r="450" spans="12:12" x14ac:dyDescent="0.25">
      <c r="L450" s="45" t="str">
        <f>IF(OR(E450="",F450="",G453="",H450="",I450="",J450="",K450=""), "",MAX(E450:F450:G450:H450:I450:J450:K450, 0))</f>
        <v/>
      </c>
    </row>
    <row r="451" spans="12:12" x14ac:dyDescent="0.25">
      <c r="L451" s="45" t="str">
        <f>IF(OR(E451="",F451="",G454="",H451="",I451="",J451="",K451=""), "",MAX(E451:F451:G451:H451:I451:J451:K451, 0))</f>
        <v/>
      </c>
    </row>
    <row r="452" spans="12:12" x14ac:dyDescent="0.25">
      <c r="L452" s="45" t="str">
        <f>IF(OR(E452="",F452="",G455="",H452="",I452="",J452="",K452=""), "",MAX(E452:F452:G452:H452:I452:J452:K452, 0))</f>
        <v/>
      </c>
    </row>
    <row r="453" spans="12:12" x14ac:dyDescent="0.25">
      <c r="L453" s="45" t="str">
        <f>IF(OR(E453="",F453="",G456="",H453="",I453="",J453="",K453=""), "",MAX(E453:F453:G453:H453:I453:J453:K453, 0))</f>
        <v/>
      </c>
    </row>
    <row r="454" spans="12:12" x14ac:dyDescent="0.25">
      <c r="L454" s="45" t="str">
        <f>IF(OR(E454="",F454="",G457="",H454="",I454="",J454="",K454=""), "",MAX(E454:F454:G454:H454:I454:J454:K454, 0))</f>
        <v/>
      </c>
    </row>
    <row r="455" spans="12:12" x14ac:dyDescent="0.25">
      <c r="L455" s="45" t="str">
        <f>IF(OR(E455="",F455="",G458="",H455="",I455="",J455="",K455=""), "",MAX(E455:F455:G455:H455:I455:J455:K455, 0))</f>
        <v/>
      </c>
    </row>
    <row r="456" spans="12:12" x14ac:dyDescent="0.25">
      <c r="L456" s="45" t="str">
        <f>IF(OR(E456="",F456="",G459="",H456="",I456="",J456="",K456=""), "",MAX(E456:F456:G456:H456:I456:J456:K456, 0))</f>
        <v/>
      </c>
    </row>
    <row r="457" spans="12:12" x14ac:dyDescent="0.25">
      <c r="L457" s="45" t="str">
        <f>IF(OR(E457="",F457="",G460="",H457="",I457="",J457="",K457=""), "",MAX(E457:F457:G457:H457:I457:J457:K457, 0))</f>
        <v/>
      </c>
    </row>
    <row r="458" spans="12:12" x14ac:dyDescent="0.25">
      <c r="L458" s="45" t="str">
        <f>IF(OR(E458="",F458="",G461="",H458="",I458="",J458="",K458=""), "",MAX(E458:F458:G458:H458:I458:J458:K458, 0))</f>
        <v/>
      </c>
    </row>
    <row r="459" spans="12:12" x14ac:dyDescent="0.25">
      <c r="L459" s="45" t="str">
        <f>IF(OR(E459="",F459="",G462="",H459="",I459="",J459="",K459=""), "",MAX(E459:F459:G459:H459:I459:J459:K459, 0))</f>
        <v/>
      </c>
    </row>
    <row r="460" spans="12:12" x14ac:dyDescent="0.25">
      <c r="L460" s="45" t="str">
        <f>IF(OR(E460="",F460="",G463="",H460="",I460="",J460="",K460=""), "",MAX(E460:F460:G460:H460:I460:J460:K460, 0))</f>
        <v/>
      </c>
    </row>
    <row r="461" spans="12:12" x14ac:dyDescent="0.25">
      <c r="L461" s="45" t="str">
        <f>IF(OR(E461="",F461="",G464="",H461="",I461="",J461="",K461=""), "",MAX(E461:F461:G461:H461:I461:J461:K461, 0))</f>
        <v/>
      </c>
    </row>
    <row r="462" spans="12:12" x14ac:dyDescent="0.25">
      <c r="L462" s="45" t="str">
        <f>IF(OR(E462="",F462="",G465="",H462="",I462="",J462="",K462=""), "",MAX(E462:F462:G462:H462:I462:J462:K462, 0))</f>
        <v/>
      </c>
    </row>
    <row r="463" spans="12:12" x14ac:dyDescent="0.25">
      <c r="L463" s="45" t="str">
        <f>IF(OR(E463="",F463="",G466="",H463="",I463="",J463="",K463=""), "",MAX(E463:F463:G463:H463:I463:J463:K463, 0))</f>
        <v/>
      </c>
    </row>
    <row r="464" spans="12:12" x14ac:dyDescent="0.25">
      <c r="L464" s="45" t="str">
        <f>IF(OR(E464="",F464="",G467="",H464="",I464="",J464="",K464=""), "",MAX(E464:F464:G464:H464:I464:J464:K464, 0))</f>
        <v/>
      </c>
    </row>
    <row r="465" spans="12:12" x14ac:dyDescent="0.25">
      <c r="L465" s="45" t="str">
        <f>IF(OR(E465="",F465="",G468="",H465="",I465="",J465="",K465=""), "",MAX(E465:F465:G465:H465:I465:J465:K465, 0))</f>
        <v/>
      </c>
    </row>
    <row r="466" spans="12:12" x14ac:dyDescent="0.25">
      <c r="L466" s="45" t="str">
        <f>IF(OR(E466="",F466="",G469="",H466="",I466="",J466="",K466=""), "",MAX(E466:F466:G466:H466:I466:J466:K466, 0))</f>
        <v/>
      </c>
    </row>
    <row r="467" spans="12:12" x14ac:dyDescent="0.25">
      <c r="L467" s="45" t="str">
        <f>IF(OR(E467="",F467="",G470="",H467="",I467="",J467="",K467=""), "",MAX(E467:F467:G467:H467:I467:J467:K467, 0))</f>
        <v/>
      </c>
    </row>
    <row r="468" spans="12:12" x14ac:dyDescent="0.25">
      <c r="L468" s="45" t="str">
        <f>IF(OR(E468="",F468="",G471="",H468="",I468="",J468="",K468=""), "",MAX(E468:F468:G468:H468:I468:J468:K468, 0))</f>
        <v/>
      </c>
    </row>
    <row r="469" spans="12:12" x14ac:dyDescent="0.25">
      <c r="L469" s="45" t="str">
        <f>IF(OR(E469="",F469="",G472="",H469="",I469="",J469="",K469=""), "",MAX(E469:F469:G469:H469:I469:J469:K469, 0))</f>
        <v/>
      </c>
    </row>
    <row r="470" spans="12:12" x14ac:dyDescent="0.25">
      <c r="L470" s="45" t="str">
        <f>IF(OR(E470="",F470="",G473="",H470="",I470="",J470="",K470=""), "",MAX(E470:F470:G470:H470:I470:J470:K470, 0))</f>
        <v/>
      </c>
    </row>
    <row r="471" spans="12:12" x14ac:dyDescent="0.25">
      <c r="L471" s="45" t="str">
        <f>IF(OR(E471="",F471="",G474="",H471="",I471="",J471="",K471=""), "",MAX(E471:F471:G471:H471:I471:J471:K471, 0))</f>
        <v/>
      </c>
    </row>
    <row r="472" spans="12:12" x14ac:dyDescent="0.25">
      <c r="L472" s="45" t="str">
        <f>IF(OR(E472="",F472="",G475="",H472="",I472="",J472="",K472=""), "",MAX(E472:F472:G472:H472:I472:J472:K472, 0))</f>
        <v/>
      </c>
    </row>
    <row r="473" spans="12:12" x14ac:dyDescent="0.25">
      <c r="L473" s="45" t="str">
        <f>IF(OR(E473="",F473="",G476="",H473="",I473="",J473="",K473=""), "",MAX(E473:F473:G473:H473:I473:J473:K473, 0))</f>
        <v/>
      </c>
    </row>
    <row r="474" spans="12:12" x14ac:dyDescent="0.25">
      <c r="L474" s="45" t="str">
        <f>IF(OR(E474="",F474="",G477="",H474="",I474="",J474="",K474=""), "",MAX(E474:F474:G474:H474:I474:J474:K474, 0))</f>
        <v/>
      </c>
    </row>
    <row r="475" spans="12:12" x14ac:dyDescent="0.25">
      <c r="L475" s="45" t="str">
        <f>IF(OR(E475="",F475="",G478="",H475="",I475="",J475="",K475=""), "",MAX(E475:F475:G475:H475:I475:J475:K475, 0))</f>
        <v/>
      </c>
    </row>
    <row r="476" spans="12:12" x14ac:dyDescent="0.25">
      <c r="L476" s="45" t="str">
        <f>IF(OR(E476="",F476="",G479="",H476="",I476="",J476="",K476=""), "",MAX(E476:F476:G476:H476:I476:J476:K476, 0))</f>
        <v/>
      </c>
    </row>
    <row r="477" spans="12:12" x14ac:dyDescent="0.25">
      <c r="L477" s="45" t="str">
        <f>IF(OR(E477="",F477="",G480="",H477="",I477="",J477="",K477=""), "",MAX(E477:F477:G477:H477:I477:J477:K477, 0))</f>
        <v/>
      </c>
    </row>
    <row r="478" spans="12:12" x14ac:dyDescent="0.25">
      <c r="L478" s="45" t="str">
        <f>IF(OR(E478="",F478="",G481="",H478="",I478="",J478="",K478=""), "",MAX(E478:F478:G478:H478:I478:J478:K478, 0))</f>
        <v/>
      </c>
    </row>
    <row r="479" spans="12:12" x14ac:dyDescent="0.25">
      <c r="L479" s="45" t="str">
        <f>IF(OR(E479="",F479="",G482="",H479="",I479="",J479="",K479=""), "",MAX(E479:F479:G479:H479:I479:J479:K479, 0))</f>
        <v/>
      </c>
    </row>
    <row r="480" spans="12:12" x14ac:dyDescent="0.25">
      <c r="L480" s="45" t="str">
        <f>IF(OR(E480="",F480="",G483="",H480="",I480="",J480="",K480=""), "",MAX(E480:F480:G480:H480:I480:J480:K480, 0))</f>
        <v/>
      </c>
    </row>
    <row r="481" spans="12:12" x14ac:dyDescent="0.25">
      <c r="L481" s="45" t="str">
        <f>IF(OR(E481="",F481="",G484="",H481="",I481="",J481="",K481=""), "",MAX(E481:F481:G481:H481:I481:J481:K481, 0))</f>
        <v/>
      </c>
    </row>
    <row r="482" spans="12:12" x14ac:dyDescent="0.25">
      <c r="L482" s="45" t="str">
        <f>IF(OR(E482="",F482="",G485="",H482="",I482="",J482="",K482=""), "",MAX(E482:F482:G482:H482:I482:J482:K482, 0))</f>
        <v/>
      </c>
    </row>
    <row r="483" spans="12:12" x14ac:dyDescent="0.25">
      <c r="L483" s="45" t="str">
        <f>IF(OR(E483="",F483="",G486="",H483="",I483="",J483="",K483=""), "",MAX(E483:F483:G483:H483:I483:J483:K483, 0))</f>
        <v/>
      </c>
    </row>
    <row r="484" spans="12:12" x14ac:dyDescent="0.25">
      <c r="L484" s="45" t="str">
        <f>IF(OR(E484="",F484="",G487="",H484="",I484="",J484="",K484=""), "",MAX(E484:F484:G484:H484:I484:J484:K484, 0))</f>
        <v/>
      </c>
    </row>
    <row r="485" spans="12:12" x14ac:dyDescent="0.25">
      <c r="L485" s="45" t="str">
        <f>IF(OR(E485="",F485="",G488="",H485="",I485="",J485="",K485=""), "",MAX(E485:F485:G485:H485:I485:J485:K485, 0))</f>
        <v/>
      </c>
    </row>
    <row r="486" spans="12:12" x14ac:dyDescent="0.25">
      <c r="L486" s="45" t="str">
        <f>IF(OR(E486="",F486="",G489="",H486="",I486="",J486="",K486=""), "",MAX(E486:F486:G486:H486:I486:J486:K486, 0))</f>
        <v/>
      </c>
    </row>
    <row r="487" spans="12:12" x14ac:dyDescent="0.25">
      <c r="L487" s="45" t="str">
        <f>IF(OR(E487="",F487="",G490="",H487="",I487="",J487="",K487=""), "",MAX(E487:F487:G487:H487:I487:J487:K487, 0))</f>
        <v/>
      </c>
    </row>
    <row r="488" spans="12:12" x14ac:dyDescent="0.25">
      <c r="L488" s="45" t="str">
        <f>IF(OR(E488="",F488="",G491="",H488="",I488="",J488="",K488=""), "",MAX(E488:F488:G488:H488:I488:J488:K488, 0))</f>
        <v/>
      </c>
    </row>
    <row r="489" spans="12:12" x14ac:dyDescent="0.25">
      <c r="L489" s="45" t="str">
        <f>IF(OR(E489="",F489="",G492="",H489="",I489="",J489="",K489=""), "",MAX(E489:F489:G489:H489:I489:J489:K489, 0))</f>
        <v/>
      </c>
    </row>
    <row r="490" spans="12:12" x14ac:dyDescent="0.25">
      <c r="L490" s="45" t="str">
        <f>IF(OR(E490="",F490="",G493="",H490="",I490="",J490="",K490=""), "",MAX(E490:F490:G490:H490:I490:J490:K490, 0))</f>
        <v/>
      </c>
    </row>
    <row r="491" spans="12:12" x14ac:dyDescent="0.25">
      <c r="L491" s="45" t="str">
        <f>IF(OR(E491="",F491="",G494="",H491="",I491="",J491="",K491=""), "",MAX(E491:F491:G491:H491:I491:J491:K491, 0))</f>
        <v/>
      </c>
    </row>
    <row r="492" spans="12:12" x14ac:dyDescent="0.25">
      <c r="L492" s="45" t="str">
        <f>IF(OR(E492="",F492="",G495="",H492="",I492="",J492="",K492=""), "",MAX(E492:F492:G492:H492:I492:J492:K492, 0))</f>
        <v/>
      </c>
    </row>
    <row r="493" spans="12:12" x14ac:dyDescent="0.25">
      <c r="L493" s="45" t="str">
        <f>IF(OR(E493="",F493="",G496="",H493="",I493="",J493="",K493=""), "",MAX(E493:F493:G493:H493:I493:J493:K493, 0))</f>
        <v/>
      </c>
    </row>
  </sheetData>
  <sheetProtection algorithmName="SHA-512" hashValue="mz62WHBybtfq2a518KPpWJzpq6dOHFMJOUWNl45drsi0HL9kXvggb/MCDlmLA3EoaGnnWIOMGEj/EGevbrs3mQ==" saltValue="hFQCn+5KXS/yFr+L7wpoDA==" spinCount="100000" sheet="1" objects="1" scenarios="1" selectLockedCells="1"/>
  <dataValidations count="2">
    <dataValidation type="list" allowBlank="1" showInputMessage="1" showErrorMessage="1" sqref="K1:K31 H2:J31 E2:G40">
      <formula1>"1,2,3,4,5"</formula1>
    </dataValidation>
    <dataValidation type="list" allowBlank="1" showInputMessage="1" showErrorMessage="1" prompt="It is subtracted from the values ​​of the factors associated with it only exp C, I, A ...." sqref="D2:D31">
      <formula1>"0,1,2,3"</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M501"/>
  <sheetViews>
    <sheetView topLeftCell="B1" workbookViewId="0">
      <selection activeCell="G5" sqref="G5"/>
    </sheetView>
  </sheetViews>
  <sheetFormatPr defaultRowHeight="13.8" x14ac:dyDescent="0.25"/>
  <cols>
    <col min="1" max="1" width="52.09765625" style="47" customWidth="1"/>
    <col min="2" max="2" width="11.3984375" style="47" customWidth="1"/>
    <col min="3" max="3" width="9.796875" style="47" customWidth="1"/>
    <col min="4" max="4" width="7.19921875" style="47" customWidth="1"/>
    <col min="5" max="5" width="16.8984375" style="47" customWidth="1"/>
    <col min="6" max="6" width="20.5" style="19" customWidth="1"/>
    <col min="7" max="7" width="10.796875" style="16" customWidth="1"/>
    <col min="8" max="8" width="14" style="47" customWidth="1"/>
    <col min="9" max="9" width="12.5" style="16" customWidth="1"/>
    <col min="10" max="10" width="16.3984375" customWidth="1"/>
    <col min="11" max="11" width="8.796875" style="24"/>
    <col min="13" max="13" width="2.3984375" customWidth="1"/>
  </cols>
  <sheetData>
    <row r="1" spans="1:13" s="72" customFormat="1" ht="27.6" x14ac:dyDescent="0.25">
      <c r="A1" s="48" t="s">
        <v>80</v>
      </c>
      <c r="B1" s="48" t="s">
        <v>40</v>
      </c>
      <c r="C1" s="48" t="s">
        <v>20</v>
      </c>
      <c r="D1" s="48" t="s">
        <v>21</v>
      </c>
      <c r="E1" s="48" t="s">
        <v>114</v>
      </c>
      <c r="F1" s="71" t="s">
        <v>22</v>
      </c>
      <c r="G1" s="70" t="s">
        <v>23</v>
      </c>
      <c r="H1" s="48" t="s">
        <v>79</v>
      </c>
      <c r="I1" s="70" t="s">
        <v>87</v>
      </c>
      <c r="J1" s="110" t="s">
        <v>99</v>
      </c>
      <c r="K1" s="110"/>
      <c r="L1" s="110"/>
      <c r="M1" s="110"/>
    </row>
    <row r="2" spans="1:13" x14ac:dyDescent="0.25">
      <c r="A2" s="46" t="str">
        <f>IF(Risk_Scenarios!H2="","",Risk_Scenarios!H2)</f>
        <v>Citizen personal data leaks due to weak authentication controls</v>
      </c>
      <c r="B2" s="46" t="str">
        <f>IF(Risk_Scenarios!I2="","",Risk_Scenarios!I2)</f>
        <v>R-01</v>
      </c>
      <c r="C2" s="46">
        <f>IF(likelihood!F2="","",likelihood!F2)</f>
        <v>4</v>
      </c>
      <c r="D2" s="46">
        <f>IF(Impact_Assessment!L2="","",Impact_Assessment!L2)</f>
        <v>3</v>
      </c>
      <c r="E2" s="46">
        <f t="shared" ref="E2:E65" si="0">IF(C2&lt;&gt;"",C2*D2,"")</f>
        <v>12</v>
      </c>
      <c r="F2" s="18" t="str">
        <f>IF(E2="","",
 IF(E2&lt;=5,"Low",IF(E2&lt;=10,"Medium",
 IF(E2&lt;=15,"High","Critical"))))</f>
        <v>High</v>
      </c>
      <c r="G2" s="85" t="s">
        <v>158</v>
      </c>
      <c r="H2" s="48" t="str">
        <f t="shared" ref="H2:H16" si="1">IF(E2="","",IF(E2&lt;=$K$4,"Accept","Treat"))</f>
        <v>Treat</v>
      </c>
      <c r="I2" s="17" t="s">
        <v>115</v>
      </c>
      <c r="J2" s="110"/>
      <c r="K2" s="110"/>
      <c r="L2" s="110"/>
      <c r="M2" s="110"/>
    </row>
    <row r="3" spans="1:13" x14ac:dyDescent="0.25">
      <c r="A3" s="46" t="str">
        <f>IF(Risk_Scenarios!H3="","",Risk_Scenarios!H3)</f>
        <v/>
      </c>
      <c r="B3" s="46" t="str">
        <f>IF(Risk_Scenarios!I3="","",Risk_Scenarios!I3)</f>
        <v/>
      </c>
      <c r="C3" s="46" t="str">
        <f>IF(likelihood!F3="","",likelihood!F3)</f>
        <v/>
      </c>
      <c r="D3" s="46" t="str">
        <f>IF(Impact_Assessment!L3="","",Impact_Assessment!L3)</f>
        <v/>
      </c>
      <c r="E3" s="46" t="str">
        <f t="shared" si="0"/>
        <v/>
      </c>
      <c r="F3" s="18" t="str">
        <f>IF(E3="","",
 IF(E3&lt;=5,"Low",IF(E3&lt;=10,"Medium",
 IF(E3&lt;=15,"High","Critical"))))</f>
        <v/>
      </c>
      <c r="G3" s="17"/>
      <c r="H3" s="48" t="str">
        <f t="shared" si="1"/>
        <v/>
      </c>
      <c r="I3" s="17"/>
      <c r="J3" s="110"/>
      <c r="K3" s="110"/>
      <c r="L3" s="110"/>
      <c r="M3" s="110"/>
    </row>
    <row r="4" spans="1:13" x14ac:dyDescent="0.25">
      <c r="A4" s="46" t="str">
        <f>IF(Risk_Scenarios!H4="","",Risk_Scenarios!H4)</f>
        <v/>
      </c>
      <c r="B4" s="46" t="str">
        <f>IF(Risk_Scenarios!I4="","",Risk_Scenarios!I4)</f>
        <v/>
      </c>
      <c r="C4" s="46" t="str">
        <f>IF(likelihood!F4="","",likelihood!F4)</f>
        <v/>
      </c>
      <c r="D4" s="46" t="str">
        <f>IF(Impact_Assessment!L4="","",Impact_Assessment!L4)</f>
        <v/>
      </c>
      <c r="E4" s="46" t="str">
        <f t="shared" si="0"/>
        <v/>
      </c>
      <c r="F4" s="18" t="str">
        <f t="shared" ref="F4:F66" si="2">IF(E4="","",
 IF(E4&lt;=5,"Low",IF(E4&lt;=10,"Medium",
 IF(E4&lt;=15,"High","Critical"))))</f>
        <v/>
      </c>
      <c r="G4" s="17"/>
      <c r="H4" s="48" t="str">
        <f t="shared" si="1"/>
        <v/>
      </c>
      <c r="I4" s="17"/>
      <c r="J4" s="114" t="s">
        <v>160</v>
      </c>
      <c r="K4" s="58">
        <v>10</v>
      </c>
      <c r="L4" s="111"/>
      <c r="M4" s="112"/>
    </row>
    <row r="5" spans="1:13" x14ac:dyDescent="0.25">
      <c r="A5" s="46" t="str">
        <f>IF(Risk_Scenarios!H5="","",Risk_Scenarios!H5)</f>
        <v/>
      </c>
      <c r="B5" s="46" t="str">
        <f>IF(Risk_Scenarios!I5="","",Risk_Scenarios!I5)</f>
        <v/>
      </c>
      <c r="C5" s="46" t="str">
        <f>IF(likelihood!F5="","",likelihood!F5)</f>
        <v/>
      </c>
      <c r="D5" s="46" t="str">
        <f>IF(Impact_Assessment!L5="","",Impact_Assessment!L5)</f>
        <v/>
      </c>
      <c r="E5" s="46" t="str">
        <f t="shared" si="0"/>
        <v/>
      </c>
      <c r="F5" s="18" t="str">
        <f t="shared" si="2"/>
        <v/>
      </c>
      <c r="G5" s="17"/>
      <c r="H5" s="48" t="str">
        <f t="shared" si="1"/>
        <v/>
      </c>
      <c r="I5" s="17"/>
    </row>
    <row r="6" spans="1:13" x14ac:dyDescent="0.25">
      <c r="A6" s="46" t="str">
        <f>IF(Risk_Scenarios!H6="","",Risk_Scenarios!H6)</f>
        <v/>
      </c>
      <c r="B6" s="46" t="str">
        <f>IF(Risk_Scenarios!I6="","",Risk_Scenarios!I6)</f>
        <v/>
      </c>
      <c r="C6" s="46" t="str">
        <f>IF(likelihood!F6="","",likelihood!F6)</f>
        <v/>
      </c>
      <c r="D6" s="46" t="str">
        <f>IF(Impact_Assessment!L6="","",Impact_Assessment!L6)</f>
        <v/>
      </c>
      <c r="E6" s="46" t="str">
        <f t="shared" si="0"/>
        <v/>
      </c>
      <c r="F6" s="18" t="str">
        <f t="shared" si="2"/>
        <v/>
      </c>
      <c r="G6" s="17"/>
      <c r="H6" s="48" t="str">
        <f t="shared" si="1"/>
        <v/>
      </c>
      <c r="I6" s="17"/>
    </row>
    <row r="7" spans="1:13" x14ac:dyDescent="0.25">
      <c r="A7" s="46" t="str">
        <f>IF(Risk_Scenarios!H7="","",Risk_Scenarios!H7)</f>
        <v/>
      </c>
      <c r="B7" s="46" t="str">
        <f>IF(Risk_Scenarios!I7="","",Risk_Scenarios!I7)</f>
        <v/>
      </c>
      <c r="C7" s="46" t="str">
        <f>IF(likelihood!F7="","",likelihood!F7)</f>
        <v/>
      </c>
      <c r="D7" s="46" t="str">
        <f>IF(Impact_Assessment!L7="","",Impact_Assessment!L7)</f>
        <v/>
      </c>
      <c r="E7" s="46" t="str">
        <f t="shared" si="0"/>
        <v/>
      </c>
      <c r="F7" s="18" t="str">
        <f t="shared" si="2"/>
        <v/>
      </c>
      <c r="G7" s="17"/>
      <c r="H7" s="48" t="str">
        <f t="shared" si="1"/>
        <v/>
      </c>
      <c r="I7" s="17"/>
    </row>
    <row r="8" spans="1:13" x14ac:dyDescent="0.25">
      <c r="A8" s="46" t="str">
        <f>IF(Risk_Scenarios!H8="","",Risk_Scenarios!H8)</f>
        <v/>
      </c>
      <c r="B8" s="46" t="str">
        <f>IF(Risk_Scenarios!I8="","",Risk_Scenarios!I8)</f>
        <v/>
      </c>
      <c r="C8" s="46" t="str">
        <f>IF(likelihood!F8="","",likelihood!F8)</f>
        <v/>
      </c>
      <c r="D8" s="46" t="str">
        <f>IF(Impact_Assessment!L8="","",Impact_Assessment!L8)</f>
        <v/>
      </c>
      <c r="E8" s="46" t="str">
        <f t="shared" si="0"/>
        <v/>
      </c>
      <c r="F8" s="18" t="str">
        <f t="shared" si="2"/>
        <v/>
      </c>
      <c r="G8" s="17"/>
      <c r="H8" s="48" t="str">
        <f t="shared" si="1"/>
        <v/>
      </c>
      <c r="I8" s="17"/>
    </row>
    <row r="9" spans="1:13" x14ac:dyDescent="0.25">
      <c r="A9" s="46" t="str">
        <f>IF(Risk_Scenarios!H9="","",Risk_Scenarios!H9)</f>
        <v/>
      </c>
      <c r="B9" s="46" t="str">
        <f>IF(Risk_Scenarios!I9="","",Risk_Scenarios!I9)</f>
        <v/>
      </c>
      <c r="C9" s="46" t="str">
        <f>IF(likelihood!F9="","",likelihood!F9)</f>
        <v/>
      </c>
      <c r="D9" s="46" t="str">
        <f>IF(Impact_Assessment!L9="","",Impact_Assessment!L9)</f>
        <v/>
      </c>
      <c r="E9" s="46" t="str">
        <f t="shared" si="0"/>
        <v/>
      </c>
      <c r="F9" s="18" t="str">
        <f t="shared" si="2"/>
        <v/>
      </c>
      <c r="G9" s="17"/>
      <c r="H9" s="48" t="str">
        <f t="shared" si="1"/>
        <v/>
      </c>
      <c r="I9" s="17"/>
    </row>
    <row r="10" spans="1:13" x14ac:dyDescent="0.25">
      <c r="A10" s="46" t="str">
        <f>IF(Risk_Scenarios!H10="","",Risk_Scenarios!H10)</f>
        <v/>
      </c>
      <c r="B10" s="46" t="str">
        <f>IF(Risk_Scenarios!I10="","",Risk_Scenarios!I10)</f>
        <v/>
      </c>
      <c r="C10" s="46" t="str">
        <f>IF(likelihood!F10="","",likelihood!F10)</f>
        <v/>
      </c>
      <c r="D10" s="46" t="str">
        <f>IF(Impact_Assessment!L10="","",Impact_Assessment!L10)</f>
        <v/>
      </c>
      <c r="E10" s="46" t="str">
        <f t="shared" si="0"/>
        <v/>
      </c>
      <c r="F10" s="18" t="str">
        <f t="shared" si="2"/>
        <v/>
      </c>
      <c r="G10" s="17"/>
      <c r="H10" s="48" t="str">
        <f t="shared" si="1"/>
        <v/>
      </c>
      <c r="I10" s="17"/>
    </row>
    <row r="11" spans="1:13" x14ac:dyDescent="0.25">
      <c r="A11" s="46" t="str">
        <f>IF(Risk_Scenarios!H11="","",Risk_Scenarios!H11)</f>
        <v/>
      </c>
      <c r="B11" s="46" t="str">
        <f>IF(Risk_Scenarios!I11="","",Risk_Scenarios!I11)</f>
        <v/>
      </c>
      <c r="C11" s="46" t="str">
        <f>IF(likelihood!F11="","",likelihood!F11)</f>
        <v/>
      </c>
      <c r="D11" s="46" t="str">
        <f>IF(Impact_Assessment!L11="","",Impact_Assessment!L11)</f>
        <v/>
      </c>
      <c r="E11" s="46" t="str">
        <f t="shared" si="0"/>
        <v/>
      </c>
      <c r="F11" s="18" t="str">
        <f t="shared" si="2"/>
        <v/>
      </c>
      <c r="G11" s="17"/>
      <c r="H11" s="48" t="str">
        <f t="shared" si="1"/>
        <v/>
      </c>
      <c r="I11" s="17"/>
    </row>
    <row r="12" spans="1:13" x14ac:dyDescent="0.25">
      <c r="A12" s="46" t="str">
        <f>IF(Risk_Scenarios!H12="","",Risk_Scenarios!H12)</f>
        <v/>
      </c>
      <c r="B12" s="46" t="str">
        <f>IF(Risk_Scenarios!I12="","",Risk_Scenarios!I12)</f>
        <v/>
      </c>
      <c r="C12" s="46" t="str">
        <f>IF(likelihood!F12="","",likelihood!F12)</f>
        <v/>
      </c>
      <c r="D12" s="46" t="str">
        <f>IF(Impact_Assessment!L12="","",Impact_Assessment!L12)</f>
        <v/>
      </c>
      <c r="E12" s="46" t="str">
        <f t="shared" si="0"/>
        <v/>
      </c>
      <c r="F12" s="18" t="str">
        <f t="shared" si="2"/>
        <v/>
      </c>
      <c r="G12" s="17"/>
      <c r="H12" s="48" t="str">
        <f t="shared" si="1"/>
        <v/>
      </c>
      <c r="I12" s="17"/>
    </row>
    <row r="13" spans="1:13" x14ac:dyDescent="0.25">
      <c r="A13" s="46" t="str">
        <f>IF(Risk_Scenarios!H13="","",Risk_Scenarios!H13)</f>
        <v/>
      </c>
      <c r="B13" s="46"/>
      <c r="C13" s="46" t="str">
        <f>IF(likelihood!F13="","",likelihood!F13)</f>
        <v/>
      </c>
      <c r="D13" s="46" t="str">
        <f>IF(Impact_Assessment!L13="","",Impact_Assessment!L13)</f>
        <v/>
      </c>
      <c r="E13" s="46" t="str">
        <f t="shared" si="0"/>
        <v/>
      </c>
      <c r="F13" s="18" t="str">
        <f t="shared" si="2"/>
        <v/>
      </c>
      <c r="G13" s="17"/>
      <c r="H13" s="48" t="str">
        <f t="shared" si="1"/>
        <v/>
      </c>
      <c r="I13" s="17"/>
    </row>
    <row r="14" spans="1:13" x14ac:dyDescent="0.25">
      <c r="A14" s="46" t="str">
        <f>IF(Risk_Scenarios!H14="","",Risk_Scenarios!H14)</f>
        <v/>
      </c>
      <c r="B14" s="46" t="str">
        <f>IF(Risk_Scenarios!I14="","",Risk_Scenarios!I14)</f>
        <v/>
      </c>
      <c r="C14" s="46" t="str">
        <f>IF(likelihood!F14="","",likelihood!F14)</f>
        <v/>
      </c>
      <c r="D14" s="46" t="str">
        <f>IF(Impact_Assessment!L14="","",Impact_Assessment!L14)</f>
        <v/>
      </c>
      <c r="E14" s="46" t="str">
        <f t="shared" si="0"/>
        <v/>
      </c>
      <c r="F14" s="18" t="str">
        <f t="shared" si="2"/>
        <v/>
      </c>
      <c r="G14" s="17"/>
      <c r="H14" s="48" t="str">
        <f t="shared" si="1"/>
        <v/>
      </c>
      <c r="I14" s="17"/>
    </row>
    <row r="15" spans="1:13" x14ac:dyDescent="0.25">
      <c r="A15" s="46" t="str">
        <f>IF(Risk_Scenarios!H15="","",Risk_Scenarios!H15)</f>
        <v/>
      </c>
      <c r="B15" s="46" t="str">
        <f>IF(Risk_Scenarios!I15="","",Risk_Scenarios!I15)</f>
        <v/>
      </c>
      <c r="C15" s="46" t="str">
        <f>IF(likelihood!F15="","",likelihood!F15)</f>
        <v/>
      </c>
      <c r="D15" s="46" t="str">
        <f>IF(Impact_Assessment!L15="","",Impact_Assessment!L15)</f>
        <v/>
      </c>
      <c r="E15" s="46" t="str">
        <f t="shared" si="0"/>
        <v/>
      </c>
      <c r="F15" s="18" t="str">
        <f t="shared" si="2"/>
        <v/>
      </c>
      <c r="G15" s="17"/>
      <c r="H15" s="48" t="str">
        <f t="shared" si="1"/>
        <v/>
      </c>
      <c r="I15" s="17"/>
    </row>
    <row r="16" spans="1:13" x14ac:dyDescent="0.25">
      <c r="A16" s="46" t="str">
        <f>IF(Risk_Scenarios!H16="","",Risk_Scenarios!H16)</f>
        <v/>
      </c>
      <c r="B16" s="46" t="str">
        <f>IF(Risk_Scenarios!I16="","",Risk_Scenarios!I16)</f>
        <v/>
      </c>
      <c r="C16" s="46" t="str">
        <f>IF(likelihood!F16="","",likelihood!F16)</f>
        <v/>
      </c>
      <c r="D16" s="46" t="str">
        <f>IF(Impact_Assessment!L16="","",Impact_Assessment!L16)</f>
        <v/>
      </c>
      <c r="E16" s="46" t="str">
        <f t="shared" si="0"/>
        <v/>
      </c>
      <c r="F16" s="18" t="str">
        <f t="shared" si="2"/>
        <v/>
      </c>
      <c r="G16" s="17"/>
      <c r="H16" s="48" t="str">
        <f t="shared" si="1"/>
        <v/>
      </c>
      <c r="I16" s="17"/>
    </row>
    <row r="17" spans="1:9" x14ac:dyDescent="0.25">
      <c r="A17" s="46" t="str">
        <f>IF(Risk_Scenarios!H17="","",Risk_Scenarios!H17)</f>
        <v/>
      </c>
      <c r="B17" s="46" t="str">
        <f>IF(Risk_Scenarios!I17="","",Risk_Scenarios!I17)</f>
        <v/>
      </c>
      <c r="C17" s="46" t="str">
        <f>IF(likelihood!F17="","",likelihood!F17)</f>
        <v/>
      </c>
      <c r="D17" s="46" t="str">
        <f>IF(Impact_Assessment!L17="","",Impact_Assessment!L17)</f>
        <v/>
      </c>
      <c r="E17" s="46" t="str">
        <f t="shared" si="0"/>
        <v/>
      </c>
      <c r="F17" s="18" t="str">
        <f t="shared" si="2"/>
        <v/>
      </c>
      <c r="G17" s="17"/>
      <c r="H17" s="48" t="str">
        <f>IF(E17="","",IF(E17&lt;=$K$4,"Accept","Treat"))</f>
        <v/>
      </c>
      <c r="I17" s="17"/>
    </row>
    <row r="18" spans="1:9" x14ac:dyDescent="0.25">
      <c r="A18" s="46" t="str">
        <f>IF(Risk_Scenarios!H18="","",Risk_Scenarios!H18)</f>
        <v/>
      </c>
      <c r="B18" s="46" t="str">
        <f>IF(Risk_Scenarios!I18="","",Risk_Scenarios!I18)</f>
        <v/>
      </c>
      <c r="C18" s="46" t="str">
        <f>IF(likelihood!F18="","",likelihood!F18)</f>
        <v/>
      </c>
      <c r="D18" s="46" t="str">
        <f>IF(Impact_Assessment!L18="","",Impact_Assessment!L18)</f>
        <v/>
      </c>
      <c r="E18" s="46" t="str">
        <f t="shared" si="0"/>
        <v/>
      </c>
      <c r="F18" s="18" t="str">
        <f t="shared" si="2"/>
        <v/>
      </c>
      <c r="G18" s="17"/>
      <c r="H18" s="48" t="str">
        <f t="shared" ref="H18:H33" si="3">IF(E18="","",IF(E18&lt;=$K$4,"Accept","Treat"))</f>
        <v/>
      </c>
      <c r="I18" s="17"/>
    </row>
    <row r="19" spans="1:9" x14ac:dyDescent="0.25">
      <c r="A19" s="46" t="str">
        <f>IF(Risk_Scenarios!H19="","",Risk_Scenarios!H19)</f>
        <v/>
      </c>
      <c r="B19" s="46" t="str">
        <f>IF(Risk_Scenarios!I19="","",Risk_Scenarios!I19)</f>
        <v/>
      </c>
      <c r="C19" s="46" t="str">
        <f>IF(likelihood!F19="","",likelihood!F19)</f>
        <v/>
      </c>
      <c r="D19" s="46" t="str">
        <f>IF(Impact_Assessment!L19="","",Impact_Assessment!L19)</f>
        <v/>
      </c>
      <c r="E19" s="46" t="str">
        <f t="shared" si="0"/>
        <v/>
      </c>
      <c r="F19" s="18" t="str">
        <f t="shared" si="2"/>
        <v/>
      </c>
      <c r="G19" s="17"/>
      <c r="H19" s="48" t="str">
        <f t="shared" si="3"/>
        <v/>
      </c>
      <c r="I19" s="17"/>
    </row>
    <row r="20" spans="1:9" x14ac:dyDescent="0.25">
      <c r="A20" s="46" t="str">
        <f>IF(Risk_Scenarios!H20="","",Risk_Scenarios!H20)</f>
        <v/>
      </c>
      <c r="B20" s="46" t="str">
        <f>IF(Risk_Scenarios!I20="","",Risk_Scenarios!I20)</f>
        <v/>
      </c>
      <c r="C20" s="46" t="str">
        <f>IF(likelihood!F20="","",likelihood!F20)</f>
        <v/>
      </c>
      <c r="D20" s="46" t="str">
        <f>IF(Impact_Assessment!L20="","",Impact_Assessment!L20)</f>
        <v/>
      </c>
      <c r="E20" s="46" t="str">
        <f t="shared" si="0"/>
        <v/>
      </c>
      <c r="F20" s="18" t="str">
        <f t="shared" si="2"/>
        <v/>
      </c>
      <c r="G20" s="17"/>
      <c r="H20" s="48" t="str">
        <f t="shared" si="3"/>
        <v/>
      </c>
      <c r="I20" s="17"/>
    </row>
    <row r="21" spans="1:9" x14ac:dyDescent="0.25">
      <c r="A21" s="46" t="str">
        <f>IF(Risk_Scenarios!H21="","",Risk_Scenarios!H21)</f>
        <v/>
      </c>
      <c r="B21" s="46" t="str">
        <f>IF(Risk_Scenarios!I21="","",Risk_Scenarios!I21)</f>
        <v/>
      </c>
      <c r="C21" s="46" t="str">
        <f>IF(likelihood!F21="","",likelihood!F21)</f>
        <v/>
      </c>
      <c r="D21" s="46" t="str">
        <f>IF(Impact_Assessment!L21="","",Impact_Assessment!L21)</f>
        <v/>
      </c>
      <c r="E21" s="46" t="str">
        <f t="shared" si="0"/>
        <v/>
      </c>
      <c r="F21" s="18" t="str">
        <f t="shared" si="2"/>
        <v/>
      </c>
      <c r="G21" s="17"/>
      <c r="H21" s="48" t="str">
        <f t="shared" si="3"/>
        <v/>
      </c>
      <c r="I21" s="17"/>
    </row>
    <row r="22" spans="1:9" x14ac:dyDescent="0.25">
      <c r="A22" s="46" t="str">
        <f>IF(Risk_Scenarios!H22="","",Risk_Scenarios!H22)</f>
        <v/>
      </c>
      <c r="B22" s="46" t="str">
        <f>IF(Risk_Scenarios!I22="","",Risk_Scenarios!I22)</f>
        <v/>
      </c>
      <c r="C22" s="46" t="str">
        <f>IF(likelihood!F22="","",likelihood!F22)</f>
        <v/>
      </c>
      <c r="D22" s="46" t="str">
        <f>IF(Impact_Assessment!L22="","",Impact_Assessment!L22)</f>
        <v/>
      </c>
      <c r="E22" s="46" t="str">
        <f t="shared" si="0"/>
        <v/>
      </c>
      <c r="F22" s="18" t="str">
        <f t="shared" si="2"/>
        <v/>
      </c>
      <c r="G22" s="17"/>
      <c r="H22" s="48" t="str">
        <f t="shared" si="3"/>
        <v/>
      </c>
      <c r="I22" s="17"/>
    </row>
    <row r="23" spans="1:9" x14ac:dyDescent="0.25">
      <c r="A23" s="46" t="str">
        <f>IF(Risk_Scenarios!H23="","",Risk_Scenarios!H23)</f>
        <v/>
      </c>
      <c r="B23" s="46" t="str">
        <f>IF(Risk_Scenarios!I23="","",Risk_Scenarios!I23)</f>
        <v/>
      </c>
      <c r="C23" s="46" t="str">
        <f>IF(likelihood!F23="","",likelihood!F23)</f>
        <v/>
      </c>
      <c r="D23" s="46" t="str">
        <f>IF(Impact_Assessment!L23="","",Impact_Assessment!L23)</f>
        <v/>
      </c>
      <c r="E23" s="46" t="str">
        <f t="shared" si="0"/>
        <v/>
      </c>
      <c r="F23" s="18" t="str">
        <f t="shared" si="2"/>
        <v/>
      </c>
      <c r="G23" s="17"/>
      <c r="H23" s="48" t="str">
        <f t="shared" si="3"/>
        <v/>
      </c>
      <c r="I23" s="17"/>
    </row>
    <row r="24" spans="1:9" x14ac:dyDescent="0.25">
      <c r="A24" s="46" t="str">
        <f>IF(Risk_Scenarios!H24="","",Risk_Scenarios!H24)</f>
        <v/>
      </c>
      <c r="B24" s="46" t="str">
        <f>IF(Risk_Scenarios!I24="","",Risk_Scenarios!I24)</f>
        <v/>
      </c>
      <c r="C24" s="46" t="str">
        <f>IF(likelihood!F24="","",likelihood!F24)</f>
        <v/>
      </c>
      <c r="D24" s="46" t="str">
        <f>IF(Impact_Assessment!L24="","",Impact_Assessment!L24)</f>
        <v/>
      </c>
      <c r="E24" s="46" t="str">
        <f t="shared" si="0"/>
        <v/>
      </c>
      <c r="F24" s="18" t="str">
        <f t="shared" si="2"/>
        <v/>
      </c>
      <c r="G24" s="17"/>
      <c r="H24" s="48" t="str">
        <f t="shared" si="3"/>
        <v/>
      </c>
      <c r="I24" s="17"/>
    </row>
    <row r="25" spans="1:9" x14ac:dyDescent="0.25">
      <c r="A25" s="46" t="str">
        <f>IF(Risk_Scenarios!H25="","",Risk_Scenarios!H25)</f>
        <v/>
      </c>
      <c r="B25" s="46" t="str">
        <f>IF(Risk_Scenarios!I25="","",Risk_Scenarios!I25)</f>
        <v/>
      </c>
      <c r="C25" s="46" t="str">
        <f>IF(likelihood!F25="","",likelihood!F25)</f>
        <v/>
      </c>
      <c r="D25" s="46" t="str">
        <f>IF(Impact_Assessment!L25="","",Impact_Assessment!L25)</f>
        <v/>
      </c>
      <c r="E25" s="46" t="str">
        <f t="shared" si="0"/>
        <v/>
      </c>
      <c r="F25" s="18" t="str">
        <f t="shared" si="2"/>
        <v/>
      </c>
      <c r="G25" s="17"/>
      <c r="H25" s="48" t="str">
        <f t="shared" si="3"/>
        <v/>
      </c>
      <c r="I25" s="17"/>
    </row>
    <row r="26" spans="1:9" x14ac:dyDescent="0.25">
      <c r="A26" s="46" t="str">
        <f>IF(Risk_Scenarios!H26="","",Risk_Scenarios!H26)</f>
        <v/>
      </c>
      <c r="B26" s="46" t="str">
        <f>IF(Risk_Scenarios!I26="","",Risk_Scenarios!I26)</f>
        <v/>
      </c>
      <c r="C26" s="46" t="str">
        <f>IF(likelihood!F26="","",likelihood!F26)</f>
        <v/>
      </c>
      <c r="D26" s="46" t="str">
        <f>IF(Impact_Assessment!L26="","",Impact_Assessment!L26)</f>
        <v/>
      </c>
      <c r="E26" s="46" t="str">
        <f t="shared" si="0"/>
        <v/>
      </c>
      <c r="F26" s="18" t="str">
        <f t="shared" si="2"/>
        <v/>
      </c>
      <c r="G26" s="17"/>
      <c r="H26" s="48" t="str">
        <f t="shared" si="3"/>
        <v/>
      </c>
      <c r="I26" s="17"/>
    </row>
    <row r="27" spans="1:9" x14ac:dyDescent="0.25">
      <c r="A27" s="46" t="str">
        <f>IF(Risk_Scenarios!H27="","",Risk_Scenarios!H27)</f>
        <v/>
      </c>
      <c r="B27" s="46" t="str">
        <f>IF(Risk_Scenarios!I27="","",Risk_Scenarios!I27)</f>
        <v/>
      </c>
      <c r="C27" s="46" t="str">
        <f>IF(likelihood!F27="","",likelihood!F27)</f>
        <v/>
      </c>
      <c r="D27" s="46" t="str">
        <f>IF(Impact_Assessment!L27="","",Impact_Assessment!L27)</f>
        <v/>
      </c>
      <c r="E27" s="46" t="str">
        <f t="shared" si="0"/>
        <v/>
      </c>
      <c r="F27" s="18" t="str">
        <f t="shared" si="2"/>
        <v/>
      </c>
      <c r="G27" s="17"/>
      <c r="H27" s="48" t="str">
        <f t="shared" si="3"/>
        <v/>
      </c>
      <c r="I27" s="17"/>
    </row>
    <row r="28" spans="1:9" x14ac:dyDescent="0.25">
      <c r="A28" s="46" t="str">
        <f>IF(Risk_Scenarios!H28="","",Risk_Scenarios!H28)</f>
        <v/>
      </c>
      <c r="B28" s="46" t="str">
        <f>IF(Risk_Scenarios!I28="","",Risk_Scenarios!I28)</f>
        <v/>
      </c>
      <c r="C28" s="46" t="str">
        <f>IF(likelihood!F28="","",likelihood!F28)</f>
        <v/>
      </c>
      <c r="D28" s="46" t="str">
        <f>IF(Impact_Assessment!L28="","",Impact_Assessment!L28)</f>
        <v/>
      </c>
      <c r="E28" s="46" t="str">
        <f t="shared" si="0"/>
        <v/>
      </c>
      <c r="F28" s="18" t="str">
        <f t="shared" si="2"/>
        <v/>
      </c>
      <c r="G28" s="17"/>
      <c r="H28" s="48" t="str">
        <f t="shared" si="3"/>
        <v/>
      </c>
      <c r="I28" s="17"/>
    </row>
    <row r="29" spans="1:9" x14ac:dyDescent="0.25">
      <c r="A29" s="46" t="str">
        <f>IF(Risk_Scenarios!H29="","",Risk_Scenarios!H29)</f>
        <v/>
      </c>
      <c r="B29" s="46" t="str">
        <f>IF(Risk_Scenarios!I29="","",Risk_Scenarios!I29)</f>
        <v/>
      </c>
      <c r="C29" s="46" t="str">
        <f>IF(likelihood!F29="","",likelihood!F29)</f>
        <v/>
      </c>
      <c r="D29" s="46" t="str">
        <f>IF(Impact_Assessment!L29="","",Impact_Assessment!L29)</f>
        <v/>
      </c>
      <c r="E29" s="46" t="str">
        <f t="shared" si="0"/>
        <v/>
      </c>
      <c r="F29" s="18" t="str">
        <f t="shared" si="2"/>
        <v/>
      </c>
      <c r="G29" s="17"/>
      <c r="H29" s="48" t="str">
        <f t="shared" si="3"/>
        <v/>
      </c>
      <c r="I29" s="17"/>
    </row>
    <row r="30" spans="1:9" x14ac:dyDescent="0.25">
      <c r="A30" s="46" t="str">
        <f>IF(Risk_Scenarios!H30="","",Risk_Scenarios!H30)</f>
        <v/>
      </c>
      <c r="B30" s="46" t="str">
        <f>IF(Risk_Scenarios!I30="","",Risk_Scenarios!I30)</f>
        <v/>
      </c>
      <c r="C30" s="46" t="str">
        <f>IF(likelihood!F30="","",likelihood!F30)</f>
        <v/>
      </c>
      <c r="D30" s="46" t="str">
        <f>IF(Impact_Assessment!L30="","",Impact_Assessment!L30)</f>
        <v/>
      </c>
      <c r="E30" s="46" t="str">
        <f t="shared" si="0"/>
        <v/>
      </c>
      <c r="F30" s="18" t="str">
        <f t="shared" si="2"/>
        <v/>
      </c>
      <c r="G30" s="17"/>
      <c r="H30" s="48" t="str">
        <f t="shared" si="3"/>
        <v/>
      </c>
      <c r="I30" s="17"/>
    </row>
    <row r="31" spans="1:9" x14ac:dyDescent="0.25">
      <c r="A31" s="46" t="str">
        <f>IF(Risk_Scenarios!H31="","",Risk_Scenarios!H31)</f>
        <v/>
      </c>
      <c r="B31" s="46" t="str">
        <f>IF(Risk_Scenarios!I31="","",Risk_Scenarios!I31)</f>
        <v/>
      </c>
      <c r="C31" s="46" t="str">
        <f>IF(likelihood!F31="","",likelihood!F31)</f>
        <v/>
      </c>
      <c r="D31" s="46" t="str">
        <f>IF(Impact_Assessment!L31="","",Impact_Assessment!L31)</f>
        <v/>
      </c>
      <c r="E31" s="46" t="str">
        <f t="shared" si="0"/>
        <v/>
      </c>
      <c r="F31" s="18" t="str">
        <f t="shared" si="2"/>
        <v/>
      </c>
      <c r="G31" s="17"/>
      <c r="H31" s="48" t="str">
        <f t="shared" si="3"/>
        <v/>
      </c>
      <c r="I31" s="17"/>
    </row>
    <row r="32" spans="1:9" x14ac:dyDescent="0.25">
      <c r="A32" s="46"/>
      <c r="B32" s="46"/>
      <c r="C32" s="46" t="str">
        <f>IFERROR(VLOOKUP(B32,likelihood!A:F,6,FALSE),"")</f>
        <v/>
      </c>
      <c r="D32" s="46" t="str">
        <f>IF(Impact_Assessment!L32="","",Impact_Assessment!L32)</f>
        <v/>
      </c>
      <c r="E32" s="46" t="str">
        <f t="shared" si="0"/>
        <v/>
      </c>
      <c r="F32" s="18" t="str">
        <f t="shared" si="2"/>
        <v/>
      </c>
      <c r="G32" s="17"/>
      <c r="H32" s="48" t="str">
        <f t="shared" si="3"/>
        <v/>
      </c>
      <c r="I32" s="17"/>
    </row>
    <row r="33" spans="1:9" x14ac:dyDescent="0.25">
      <c r="A33" s="46"/>
      <c r="B33" s="46"/>
      <c r="C33" s="46" t="str">
        <f>IFERROR(VLOOKUP(B33,likelihood!A:F,6,FALSE),"")</f>
        <v/>
      </c>
      <c r="D33" s="46" t="str">
        <f>IFERROR(VLOOKUP(B33,Impact_Assessment!A:L,6,FALSE),"")</f>
        <v/>
      </c>
      <c r="E33" s="46" t="str">
        <f t="shared" si="0"/>
        <v/>
      </c>
      <c r="F33" s="18" t="str">
        <f t="shared" si="2"/>
        <v/>
      </c>
      <c r="G33" s="17"/>
      <c r="H33" s="48" t="str">
        <f t="shared" si="3"/>
        <v/>
      </c>
      <c r="I33" s="17"/>
    </row>
    <row r="34" spans="1:9" x14ac:dyDescent="0.25">
      <c r="A34" s="46"/>
      <c r="B34" s="46"/>
      <c r="C34" s="46" t="str">
        <f>IFERROR(VLOOKUP(B34,likelihood!A:F,6,FALSE),"")</f>
        <v/>
      </c>
      <c r="D34" s="46" t="str">
        <f>IFERROR(VLOOKUP(B34,Impact_Assessment!A:L,6,FALSE),"")</f>
        <v/>
      </c>
      <c r="E34" s="46" t="str">
        <f t="shared" si="0"/>
        <v/>
      </c>
      <c r="F34" s="18" t="str">
        <f t="shared" si="2"/>
        <v/>
      </c>
      <c r="G34" s="17"/>
      <c r="H34" s="48"/>
      <c r="I34" s="17"/>
    </row>
    <row r="35" spans="1:9" x14ac:dyDescent="0.25">
      <c r="A35" s="46"/>
      <c r="B35" s="46"/>
      <c r="C35" s="46" t="str">
        <f>IFERROR(VLOOKUP(B35,likelihood!A:F,6,FALSE),"")</f>
        <v/>
      </c>
      <c r="D35" s="46" t="str">
        <f>IFERROR(VLOOKUP(B35,Impact_Assessment!A:L,6,FALSE),"")</f>
        <v/>
      </c>
      <c r="E35" s="46" t="str">
        <f t="shared" si="0"/>
        <v/>
      </c>
      <c r="F35" s="18" t="str">
        <f t="shared" si="2"/>
        <v/>
      </c>
      <c r="G35" s="17"/>
      <c r="H35" s="48"/>
      <c r="I35" s="17"/>
    </row>
    <row r="36" spans="1:9" x14ac:dyDescent="0.25">
      <c r="A36" s="46"/>
      <c r="B36" s="46"/>
      <c r="C36" s="46" t="str">
        <f>IFERROR(VLOOKUP(B36,likelihood!A:F,6,FALSE),"")</f>
        <v/>
      </c>
      <c r="D36" s="46" t="str">
        <f>IFERROR(VLOOKUP(B36,Impact_Assessment!A:L,6,FALSE),"")</f>
        <v/>
      </c>
      <c r="E36" s="46" t="str">
        <f t="shared" si="0"/>
        <v/>
      </c>
      <c r="F36" s="18" t="str">
        <f t="shared" si="2"/>
        <v/>
      </c>
      <c r="G36" s="17"/>
      <c r="H36" s="48"/>
      <c r="I36" s="17"/>
    </row>
    <row r="37" spans="1:9" x14ac:dyDescent="0.25">
      <c r="A37" s="46"/>
      <c r="B37" s="46"/>
      <c r="C37" s="46" t="str">
        <f>IFERROR(VLOOKUP(B37,likelihood!A:F,6,FALSE),"")</f>
        <v/>
      </c>
      <c r="D37" s="46" t="str">
        <f>IFERROR(VLOOKUP(B37,Impact_Assessment!A:L,6,FALSE),"")</f>
        <v/>
      </c>
      <c r="E37" s="46" t="str">
        <f t="shared" si="0"/>
        <v/>
      </c>
      <c r="F37" s="18" t="str">
        <f t="shared" si="2"/>
        <v/>
      </c>
      <c r="G37" s="17"/>
      <c r="H37" s="48"/>
      <c r="I37" s="17"/>
    </row>
    <row r="38" spans="1:9" x14ac:dyDescent="0.25">
      <c r="A38" s="46"/>
      <c r="B38" s="46"/>
      <c r="C38" s="46" t="str">
        <f>IFERROR(VLOOKUP(B38,likelihood!A:F,6,FALSE),"")</f>
        <v/>
      </c>
      <c r="D38" s="46" t="str">
        <f>IFERROR(VLOOKUP(B38,Impact_Assessment!A:L,6,FALSE),"")</f>
        <v/>
      </c>
      <c r="E38" s="46" t="str">
        <f t="shared" si="0"/>
        <v/>
      </c>
      <c r="F38" s="18" t="str">
        <f t="shared" si="2"/>
        <v/>
      </c>
      <c r="G38" s="17"/>
      <c r="H38" s="48"/>
      <c r="I38" s="17"/>
    </row>
    <row r="39" spans="1:9" x14ac:dyDescent="0.25">
      <c r="A39" s="46"/>
      <c r="B39" s="46"/>
      <c r="C39" s="46" t="str">
        <f>IFERROR(VLOOKUP(B39,likelihood!A:F,6,FALSE),"")</f>
        <v/>
      </c>
      <c r="D39" s="46" t="str">
        <f>IFERROR(VLOOKUP(B39,Impact_Assessment!A:L,6,FALSE),"")</f>
        <v/>
      </c>
      <c r="E39" s="46" t="str">
        <f t="shared" si="0"/>
        <v/>
      </c>
      <c r="F39" s="18" t="str">
        <f t="shared" si="2"/>
        <v/>
      </c>
      <c r="G39" s="17"/>
      <c r="H39" s="48"/>
      <c r="I39" s="17"/>
    </row>
    <row r="40" spans="1:9" x14ac:dyDescent="0.25">
      <c r="A40" s="46"/>
      <c r="B40" s="46"/>
      <c r="C40" s="46" t="str">
        <f>IFERROR(VLOOKUP(B40,likelihood!A:F,6,FALSE),"")</f>
        <v/>
      </c>
      <c r="D40" s="46" t="str">
        <f>IFERROR(VLOOKUP(B40,Impact_Assessment!A:L,6,FALSE),"")</f>
        <v/>
      </c>
      <c r="E40" s="46" t="str">
        <f t="shared" si="0"/>
        <v/>
      </c>
      <c r="F40" s="18" t="str">
        <f t="shared" si="2"/>
        <v/>
      </c>
      <c r="G40" s="17"/>
      <c r="H40" s="46"/>
      <c r="I40" s="17"/>
    </row>
    <row r="41" spans="1:9" x14ac:dyDescent="0.25">
      <c r="A41" s="46"/>
      <c r="B41" s="46"/>
      <c r="C41" s="46" t="str">
        <f>IFERROR(VLOOKUP(B41,likelihood!A:F,6,FALSE),"")</f>
        <v/>
      </c>
      <c r="D41" s="46" t="str">
        <f>IFERROR(VLOOKUP(B41,Impact_Assessment!A:L,6,FALSE),"")</f>
        <v/>
      </c>
      <c r="E41" s="46" t="str">
        <f t="shared" si="0"/>
        <v/>
      </c>
      <c r="F41" s="18" t="str">
        <f t="shared" si="2"/>
        <v/>
      </c>
      <c r="G41" s="17"/>
      <c r="H41" s="46"/>
      <c r="I41" s="17"/>
    </row>
    <row r="42" spans="1:9" x14ac:dyDescent="0.25">
      <c r="A42" s="46"/>
      <c r="B42" s="46"/>
      <c r="C42" s="46" t="str">
        <f>IFERROR(VLOOKUP(B42,likelihood!A:F,6,FALSE),"")</f>
        <v/>
      </c>
      <c r="D42" s="46" t="str">
        <f>IFERROR(VLOOKUP(B42,Impact_Assessment!A:L,6,FALSE),"")</f>
        <v/>
      </c>
      <c r="E42" s="46" t="str">
        <f t="shared" si="0"/>
        <v/>
      </c>
      <c r="F42" s="18" t="str">
        <f t="shared" si="2"/>
        <v/>
      </c>
      <c r="G42" s="17"/>
      <c r="H42" s="46"/>
      <c r="I42" s="17"/>
    </row>
    <row r="43" spans="1:9" x14ac:dyDescent="0.25">
      <c r="A43" s="46"/>
      <c r="B43" s="46"/>
      <c r="C43" s="46" t="str">
        <f>IFERROR(VLOOKUP(B43,likelihood!A:F,6,FALSE),"")</f>
        <v/>
      </c>
      <c r="D43" s="46" t="str">
        <f>IFERROR(VLOOKUP(B43,Impact_Assessment!A:L,6,FALSE),"")</f>
        <v/>
      </c>
      <c r="E43" s="46" t="str">
        <f t="shared" si="0"/>
        <v/>
      </c>
      <c r="F43" s="18" t="str">
        <f t="shared" si="2"/>
        <v/>
      </c>
      <c r="G43" s="17"/>
      <c r="H43" s="46"/>
      <c r="I43" s="17"/>
    </row>
    <row r="44" spans="1:9" x14ac:dyDescent="0.25">
      <c r="A44" s="46"/>
      <c r="B44" s="46"/>
      <c r="C44" s="46" t="str">
        <f>IFERROR(VLOOKUP(B44,likelihood!A:F,6,FALSE),"")</f>
        <v/>
      </c>
      <c r="D44" s="46" t="str">
        <f>IFERROR(VLOOKUP(B44,Impact_Assessment!A:L,6,FALSE),"")</f>
        <v/>
      </c>
      <c r="E44" s="46" t="str">
        <f t="shared" si="0"/>
        <v/>
      </c>
      <c r="F44" s="18" t="str">
        <f t="shared" si="2"/>
        <v/>
      </c>
      <c r="G44" s="17"/>
      <c r="H44" s="46"/>
      <c r="I44" s="17"/>
    </row>
    <row r="45" spans="1:9" x14ac:dyDescent="0.25">
      <c r="A45" s="46"/>
      <c r="B45" s="46"/>
      <c r="C45" s="46" t="str">
        <f>IFERROR(VLOOKUP(B45,likelihood!A:F,6,FALSE),"")</f>
        <v/>
      </c>
      <c r="D45" s="46" t="str">
        <f>IFERROR(VLOOKUP(B45,Impact_Assessment!A:L,6,FALSE),"")</f>
        <v/>
      </c>
      <c r="E45" s="46" t="str">
        <f t="shared" si="0"/>
        <v/>
      </c>
      <c r="F45" s="18" t="str">
        <f t="shared" si="2"/>
        <v/>
      </c>
      <c r="G45" s="17"/>
      <c r="H45" s="46"/>
      <c r="I45" s="17"/>
    </row>
    <row r="46" spans="1:9" x14ac:dyDescent="0.25">
      <c r="A46" s="46"/>
      <c r="B46" s="46"/>
      <c r="C46" s="46" t="str">
        <f>IFERROR(VLOOKUP(B46,likelihood!A:F,6,FALSE),"")</f>
        <v/>
      </c>
      <c r="D46" s="46" t="str">
        <f>IFERROR(VLOOKUP(B46,Impact_Assessment!A:L,6,FALSE),"")</f>
        <v/>
      </c>
      <c r="E46" s="46" t="str">
        <f t="shared" si="0"/>
        <v/>
      </c>
      <c r="F46" s="18" t="str">
        <f t="shared" si="2"/>
        <v/>
      </c>
      <c r="G46" s="17"/>
      <c r="H46" s="46"/>
      <c r="I46" s="17"/>
    </row>
    <row r="47" spans="1:9" x14ac:dyDescent="0.25">
      <c r="A47" s="46"/>
      <c r="B47" s="46"/>
      <c r="C47" s="46" t="str">
        <f>IFERROR(VLOOKUP(B47,likelihood!A:F,6,FALSE),"")</f>
        <v/>
      </c>
      <c r="D47" s="46" t="str">
        <f>IFERROR(VLOOKUP(B47,Impact_Assessment!A:L,6,FALSE),"")</f>
        <v/>
      </c>
      <c r="E47" s="46" t="str">
        <f t="shared" si="0"/>
        <v/>
      </c>
      <c r="F47" s="18" t="str">
        <f t="shared" si="2"/>
        <v/>
      </c>
      <c r="G47" s="17"/>
      <c r="H47" s="46"/>
      <c r="I47" s="17"/>
    </row>
    <row r="48" spans="1:9" x14ac:dyDescent="0.25">
      <c r="A48" s="46"/>
      <c r="B48" s="46"/>
      <c r="C48" s="46" t="str">
        <f>IFERROR(VLOOKUP(B48,likelihood!A:F,6,FALSE),"")</f>
        <v/>
      </c>
      <c r="D48" s="46" t="str">
        <f>IFERROR(VLOOKUP(B48,Impact_Assessment!A:L,6,FALSE),"")</f>
        <v/>
      </c>
      <c r="E48" s="46" t="str">
        <f t="shared" si="0"/>
        <v/>
      </c>
      <c r="F48" s="18" t="str">
        <f t="shared" si="2"/>
        <v/>
      </c>
      <c r="G48" s="17"/>
      <c r="H48" s="46"/>
      <c r="I48" s="17"/>
    </row>
    <row r="49" spans="1:9" x14ac:dyDescent="0.25">
      <c r="A49" s="46"/>
      <c r="B49" s="46"/>
      <c r="C49" s="46" t="str">
        <f>IFERROR(VLOOKUP(B49,likelihood!A:F,6,FALSE),"")</f>
        <v/>
      </c>
      <c r="D49" s="46" t="str">
        <f>IFERROR(VLOOKUP(B49,Impact_Assessment!A:L,6,FALSE),"")</f>
        <v/>
      </c>
      <c r="E49" s="46" t="str">
        <f t="shared" si="0"/>
        <v/>
      </c>
      <c r="F49" s="18" t="str">
        <f t="shared" si="2"/>
        <v/>
      </c>
      <c r="G49" s="17"/>
      <c r="H49" s="46"/>
      <c r="I49" s="17"/>
    </row>
    <row r="50" spans="1:9" x14ac:dyDescent="0.25">
      <c r="A50" s="46"/>
      <c r="B50" s="46"/>
      <c r="C50" s="46" t="str">
        <f>IFERROR(VLOOKUP(B50,likelihood!A:F,6,FALSE),"")</f>
        <v/>
      </c>
      <c r="D50" s="46" t="str">
        <f>IFERROR(VLOOKUP(B50,Impact_Assessment!A:L,6,FALSE),"")</f>
        <v/>
      </c>
      <c r="E50" s="46" t="str">
        <f t="shared" si="0"/>
        <v/>
      </c>
      <c r="F50" s="18" t="str">
        <f t="shared" si="2"/>
        <v/>
      </c>
      <c r="G50" s="17"/>
      <c r="H50" s="46"/>
      <c r="I50" s="17"/>
    </row>
    <row r="51" spans="1:9" x14ac:dyDescent="0.25">
      <c r="A51" s="46"/>
      <c r="B51" s="46"/>
      <c r="C51" s="46" t="str">
        <f>IFERROR(VLOOKUP(B51,likelihood!A:F,6,FALSE),"")</f>
        <v/>
      </c>
      <c r="D51" s="46" t="str">
        <f>IFERROR(VLOOKUP(B51,Impact_Assessment!A:L,6,FALSE),"")</f>
        <v/>
      </c>
      <c r="E51" s="46" t="str">
        <f t="shared" si="0"/>
        <v/>
      </c>
      <c r="F51" s="18" t="str">
        <f t="shared" si="2"/>
        <v/>
      </c>
      <c r="G51" s="17"/>
      <c r="H51" s="46"/>
      <c r="I51" s="17"/>
    </row>
    <row r="52" spans="1:9" x14ac:dyDescent="0.25">
      <c r="A52" s="46"/>
      <c r="B52" s="46"/>
      <c r="C52" s="46" t="str">
        <f>IFERROR(VLOOKUP(B52,likelihood!A:F,6,FALSE),"")</f>
        <v/>
      </c>
      <c r="D52" s="46" t="str">
        <f>IFERROR(VLOOKUP(B52,Impact_Assessment!A:L,6,FALSE),"")</f>
        <v/>
      </c>
      <c r="E52" s="46" t="str">
        <f t="shared" si="0"/>
        <v/>
      </c>
      <c r="F52" s="18" t="str">
        <f t="shared" si="2"/>
        <v/>
      </c>
      <c r="G52" s="17"/>
      <c r="H52" s="46"/>
      <c r="I52" s="17"/>
    </row>
    <row r="53" spans="1:9" x14ac:dyDescent="0.25">
      <c r="A53" s="46"/>
      <c r="B53" s="46"/>
      <c r="C53" s="46" t="str">
        <f>IFERROR(VLOOKUP(B53,likelihood!A:F,6,FALSE),"")</f>
        <v/>
      </c>
      <c r="D53" s="46" t="str">
        <f>IFERROR(VLOOKUP(B53,Impact_Assessment!A:L,6,FALSE),"")</f>
        <v/>
      </c>
      <c r="E53" s="46" t="str">
        <f t="shared" si="0"/>
        <v/>
      </c>
      <c r="F53" s="18" t="str">
        <f t="shared" si="2"/>
        <v/>
      </c>
      <c r="G53" s="17"/>
      <c r="H53" s="46"/>
      <c r="I53" s="17"/>
    </row>
    <row r="54" spans="1:9" x14ac:dyDescent="0.25">
      <c r="A54" s="46"/>
      <c r="B54" s="46"/>
      <c r="C54" s="46" t="str">
        <f>IFERROR(VLOOKUP(B54,likelihood!A:F,6,FALSE),"")</f>
        <v/>
      </c>
      <c r="D54" s="46" t="str">
        <f>IFERROR(VLOOKUP(B54,Impact_Assessment!A:L,6,FALSE),"")</f>
        <v/>
      </c>
      <c r="E54" s="46" t="str">
        <f t="shared" si="0"/>
        <v/>
      </c>
      <c r="F54" s="18" t="str">
        <f t="shared" si="2"/>
        <v/>
      </c>
      <c r="G54" s="17"/>
      <c r="H54" s="46"/>
      <c r="I54" s="17"/>
    </row>
    <row r="55" spans="1:9" x14ac:dyDescent="0.25">
      <c r="A55" s="46"/>
      <c r="B55" s="46"/>
      <c r="C55" s="46" t="str">
        <f>IFERROR(VLOOKUP(B55,likelihood!A:F,6,FALSE),"")</f>
        <v/>
      </c>
      <c r="D55" s="46" t="str">
        <f>IFERROR(VLOOKUP(B55,Impact_Assessment!A:L,6,FALSE),"")</f>
        <v/>
      </c>
      <c r="E55" s="46" t="str">
        <f t="shared" si="0"/>
        <v/>
      </c>
      <c r="F55" s="18" t="str">
        <f t="shared" si="2"/>
        <v/>
      </c>
      <c r="G55" s="17"/>
      <c r="H55" s="46"/>
      <c r="I55" s="17"/>
    </row>
    <row r="56" spans="1:9" x14ac:dyDescent="0.25">
      <c r="A56" s="46"/>
      <c r="B56" s="46"/>
      <c r="C56" s="46" t="str">
        <f>IFERROR(VLOOKUP(B56,likelihood!A:F,6,FALSE),"")</f>
        <v/>
      </c>
      <c r="D56" s="46" t="str">
        <f>IFERROR(VLOOKUP(B56,Impact_Assessment!A:L,6,FALSE),"")</f>
        <v/>
      </c>
      <c r="E56" s="46" t="str">
        <f t="shared" si="0"/>
        <v/>
      </c>
      <c r="F56" s="18" t="str">
        <f t="shared" si="2"/>
        <v/>
      </c>
      <c r="G56" s="17"/>
      <c r="H56" s="46"/>
      <c r="I56" s="17"/>
    </row>
    <row r="57" spans="1:9" x14ac:dyDescent="0.25">
      <c r="A57" s="46"/>
      <c r="B57" s="46"/>
      <c r="C57" s="46" t="str">
        <f>IFERROR(VLOOKUP(B57,likelihood!A:F,6,FALSE),"")</f>
        <v/>
      </c>
      <c r="D57" s="46" t="str">
        <f>IFERROR(VLOOKUP(B57,Impact_Assessment!A:L,6,FALSE),"")</f>
        <v/>
      </c>
      <c r="E57" s="46" t="str">
        <f t="shared" si="0"/>
        <v/>
      </c>
      <c r="F57" s="18" t="str">
        <f t="shared" si="2"/>
        <v/>
      </c>
      <c r="G57" s="17"/>
      <c r="H57" s="46"/>
      <c r="I57" s="17"/>
    </row>
    <row r="58" spans="1:9" x14ac:dyDescent="0.25">
      <c r="A58" s="46"/>
      <c r="B58" s="46"/>
      <c r="C58" s="46" t="str">
        <f>IFERROR(VLOOKUP(B58,likelihood!A:F,6,FALSE),"")</f>
        <v/>
      </c>
      <c r="D58" s="46" t="str">
        <f>IFERROR(VLOOKUP(B58,Impact_Assessment!A:L,6,FALSE),"")</f>
        <v/>
      </c>
      <c r="E58" s="46" t="str">
        <f t="shared" si="0"/>
        <v/>
      </c>
      <c r="F58" s="18" t="str">
        <f t="shared" si="2"/>
        <v/>
      </c>
      <c r="G58" s="17"/>
      <c r="H58" s="46"/>
      <c r="I58" s="17"/>
    </row>
    <row r="59" spans="1:9" x14ac:dyDescent="0.25">
      <c r="A59" s="46"/>
      <c r="B59" s="46"/>
      <c r="C59" s="46" t="str">
        <f>IFERROR(VLOOKUP(B59,likelihood!A:F,6,FALSE),"")</f>
        <v/>
      </c>
      <c r="D59" s="46" t="str">
        <f>IFERROR(VLOOKUP(B59,Impact_Assessment!A:L,6,FALSE),"")</f>
        <v/>
      </c>
      <c r="E59" s="46" t="str">
        <f t="shared" si="0"/>
        <v/>
      </c>
      <c r="F59" s="18" t="str">
        <f t="shared" si="2"/>
        <v/>
      </c>
      <c r="G59" s="17"/>
      <c r="H59" s="46"/>
      <c r="I59" s="17"/>
    </row>
    <row r="60" spans="1:9" x14ac:dyDescent="0.25">
      <c r="A60" s="46"/>
      <c r="B60" s="46"/>
      <c r="C60" s="46" t="str">
        <f>IFERROR(VLOOKUP(B60,likelihood!A:F,6,FALSE),"")</f>
        <v/>
      </c>
      <c r="D60" s="46" t="str">
        <f>IFERROR(VLOOKUP(B60,Impact_Assessment!A:L,6,FALSE),"")</f>
        <v/>
      </c>
      <c r="E60" s="46" t="str">
        <f t="shared" si="0"/>
        <v/>
      </c>
      <c r="F60" s="18" t="str">
        <f t="shared" si="2"/>
        <v/>
      </c>
      <c r="G60" s="17"/>
      <c r="H60" s="46"/>
      <c r="I60" s="17"/>
    </row>
    <row r="61" spans="1:9" x14ac:dyDescent="0.25">
      <c r="A61" s="46"/>
      <c r="B61" s="46"/>
      <c r="C61" s="46" t="str">
        <f>IFERROR(VLOOKUP(B61,likelihood!A:F,6,FALSE),"")</f>
        <v/>
      </c>
      <c r="D61" s="46" t="str">
        <f>IFERROR(VLOOKUP(B61,Impact_Assessment!A:L,6,FALSE),"")</f>
        <v/>
      </c>
      <c r="E61" s="46" t="str">
        <f t="shared" si="0"/>
        <v/>
      </c>
      <c r="F61" s="18" t="str">
        <f t="shared" si="2"/>
        <v/>
      </c>
      <c r="G61" s="17"/>
      <c r="H61" s="46"/>
      <c r="I61" s="17"/>
    </row>
    <row r="62" spans="1:9" x14ac:dyDescent="0.25">
      <c r="A62" s="46"/>
      <c r="B62" s="46"/>
      <c r="C62" s="46" t="str">
        <f>IFERROR(VLOOKUP(B62,likelihood!A:F,6,FALSE),"")</f>
        <v/>
      </c>
      <c r="D62" s="46" t="str">
        <f>IFERROR(VLOOKUP(B62,Impact_Assessment!A:L,6,FALSE),"")</f>
        <v/>
      </c>
      <c r="E62" s="46" t="str">
        <f t="shared" si="0"/>
        <v/>
      </c>
      <c r="F62" s="18" t="str">
        <f t="shared" si="2"/>
        <v/>
      </c>
      <c r="G62" s="17"/>
      <c r="H62" s="46"/>
      <c r="I62" s="17"/>
    </row>
    <row r="63" spans="1:9" x14ac:dyDescent="0.25">
      <c r="A63" s="46"/>
      <c r="B63" s="46"/>
      <c r="C63" s="46" t="str">
        <f>IFERROR(VLOOKUP(B63,likelihood!A:F,6,FALSE),"")</f>
        <v/>
      </c>
      <c r="D63" s="46" t="str">
        <f>IFERROR(VLOOKUP(B63,Impact_Assessment!A:L,6,FALSE),"")</f>
        <v/>
      </c>
      <c r="E63" s="46" t="str">
        <f t="shared" si="0"/>
        <v/>
      </c>
      <c r="F63" s="18" t="str">
        <f t="shared" si="2"/>
        <v/>
      </c>
      <c r="G63" s="17"/>
      <c r="H63" s="46"/>
      <c r="I63" s="17"/>
    </row>
    <row r="64" spans="1:9" x14ac:dyDescent="0.25">
      <c r="A64" s="46"/>
      <c r="B64" s="46"/>
      <c r="C64" s="46" t="str">
        <f>IFERROR(VLOOKUP(B64,likelihood!A:F,6,FALSE),"")</f>
        <v/>
      </c>
      <c r="D64" s="46" t="str">
        <f>IFERROR(VLOOKUP(B64,Impact_Assessment!A:L,6,FALSE),"")</f>
        <v/>
      </c>
      <c r="E64" s="46" t="str">
        <f t="shared" si="0"/>
        <v/>
      </c>
      <c r="F64" s="18" t="str">
        <f t="shared" si="2"/>
        <v/>
      </c>
      <c r="G64" s="17"/>
      <c r="H64" s="46"/>
      <c r="I64" s="17"/>
    </row>
    <row r="65" spans="1:9" x14ac:dyDescent="0.25">
      <c r="A65" s="46"/>
      <c r="B65" s="46"/>
      <c r="C65" s="46" t="str">
        <f>IFERROR(VLOOKUP(B65,likelihood!A:F,6,FALSE),"")</f>
        <v/>
      </c>
      <c r="D65" s="46" t="str">
        <f>IFERROR(VLOOKUP(B65,Impact_Assessment!A:L,6,FALSE),"")</f>
        <v/>
      </c>
      <c r="E65" s="46" t="str">
        <f t="shared" si="0"/>
        <v/>
      </c>
      <c r="F65" s="18" t="str">
        <f t="shared" si="2"/>
        <v/>
      </c>
      <c r="G65" s="17"/>
      <c r="H65" s="46"/>
      <c r="I65" s="17"/>
    </row>
    <row r="66" spans="1:9" x14ac:dyDescent="0.25">
      <c r="A66" s="46"/>
      <c r="B66" s="46"/>
      <c r="C66" s="46" t="str">
        <f>IFERROR(VLOOKUP(B66,likelihood!A:F,6,FALSE),"")</f>
        <v/>
      </c>
      <c r="D66" s="46" t="str">
        <f>IFERROR(VLOOKUP(B66,Impact_Assessment!A:L,6,FALSE),"")</f>
        <v/>
      </c>
      <c r="E66" s="46" t="str">
        <f t="shared" ref="E66:E129" si="4">IF(C66&lt;&gt;"",C66*D66,"")</f>
        <v/>
      </c>
      <c r="F66" s="18" t="str">
        <f t="shared" si="2"/>
        <v/>
      </c>
      <c r="G66" s="17"/>
      <c r="H66" s="46"/>
      <c r="I66" s="17"/>
    </row>
    <row r="67" spans="1:9" x14ac:dyDescent="0.25">
      <c r="A67" s="46"/>
      <c r="B67" s="46"/>
      <c r="C67" s="46" t="str">
        <f>IFERROR(VLOOKUP(B67,likelihood!A:F,6,FALSE),"")</f>
        <v/>
      </c>
      <c r="D67" s="46" t="str">
        <f>IFERROR(VLOOKUP(B67,Impact_Assessment!A:L,6,FALSE),"")</f>
        <v/>
      </c>
      <c r="E67" s="46" t="str">
        <f t="shared" si="4"/>
        <v/>
      </c>
      <c r="F67" s="18" t="str">
        <f t="shared" ref="F67:F130" si="5">IF(E67="","",
 IF(E67&lt;=5,"Low",IF(E67&lt;=10,"Medium",
 IF(E67&lt;=15,"High","Critical"))))</f>
        <v/>
      </c>
      <c r="G67" s="17"/>
      <c r="H67" s="46"/>
      <c r="I67" s="17"/>
    </row>
    <row r="68" spans="1:9" x14ac:dyDescent="0.25">
      <c r="A68" s="46"/>
      <c r="B68" s="46"/>
      <c r="C68" s="46" t="str">
        <f>IFERROR(VLOOKUP(B68,likelihood!A:F,6,FALSE),"")</f>
        <v/>
      </c>
      <c r="D68" s="46" t="str">
        <f>IFERROR(VLOOKUP(B68,Impact_Assessment!A:L,6,FALSE),"")</f>
        <v/>
      </c>
      <c r="E68" s="46" t="str">
        <f t="shared" si="4"/>
        <v/>
      </c>
      <c r="F68" s="18" t="str">
        <f t="shared" si="5"/>
        <v/>
      </c>
      <c r="G68" s="17"/>
      <c r="H68" s="46"/>
      <c r="I68" s="17"/>
    </row>
    <row r="69" spans="1:9" x14ac:dyDescent="0.25">
      <c r="A69" s="46"/>
      <c r="B69" s="46"/>
      <c r="C69" s="46" t="str">
        <f>IFERROR(VLOOKUP(B69,likelihood!A:F,6,FALSE),"")</f>
        <v/>
      </c>
      <c r="D69" s="46" t="str">
        <f>IFERROR(VLOOKUP(B69,Impact_Assessment!A:L,6,FALSE),"")</f>
        <v/>
      </c>
      <c r="E69" s="46" t="str">
        <f t="shared" si="4"/>
        <v/>
      </c>
      <c r="F69" s="18" t="str">
        <f t="shared" si="5"/>
        <v/>
      </c>
      <c r="G69" s="17"/>
      <c r="H69" s="46"/>
      <c r="I69" s="17"/>
    </row>
    <row r="70" spans="1:9" x14ac:dyDescent="0.25">
      <c r="A70" s="46"/>
      <c r="B70" s="46"/>
      <c r="C70" s="46" t="str">
        <f>IFERROR(VLOOKUP(B70,likelihood!A:F,6,FALSE),"")</f>
        <v/>
      </c>
      <c r="D70" s="46" t="str">
        <f>IFERROR(VLOOKUP(B70,Impact_Assessment!A:L,6,FALSE),"")</f>
        <v/>
      </c>
      <c r="E70" s="46" t="str">
        <f t="shared" si="4"/>
        <v/>
      </c>
      <c r="F70" s="18" t="str">
        <f t="shared" si="5"/>
        <v/>
      </c>
      <c r="G70" s="17"/>
      <c r="H70" s="46"/>
      <c r="I70" s="17"/>
    </row>
    <row r="71" spans="1:9" x14ac:dyDescent="0.25">
      <c r="A71" s="46"/>
      <c r="B71" s="46"/>
      <c r="C71" s="46" t="str">
        <f>IFERROR(VLOOKUP(B71,likelihood!A:F,6,FALSE),"")</f>
        <v/>
      </c>
      <c r="D71" s="46" t="str">
        <f>IFERROR(VLOOKUP(B71,Impact_Assessment!A:L,6,FALSE),"")</f>
        <v/>
      </c>
      <c r="E71" s="46" t="str">
        <f t="shared" si="4"/>
        <v/>
      </c>
      <c r="F71" s="18" t="str">
        <f t="shared" si="5"/>
        <v/>
      </c>
      <c r="G71" s="17"/>
      <c r="H71" s="46"/>
      <c r="I71" s="17"/>
    </row>
    <row r="72" spans="1:9" x14ac:dyDescent="0.25">
      <c r="A72" s="46"/>
      <c r="B72" s="46"/>
      <c r="C72" s="46" t="str">
        <f>IFERROR(VLOOKUP(B72,likelihood!A:F,6,FALSE),"")</f>
        <v/>
      </c>
      <c r="D72" s="46" t="str">
        <f>IFERROR(VLOOKUP(B72,Impact_Assessment!A:L,6,FALSE),"")</f>
        <v/>
      </c>
      <c r="E72" s="46" t="str">
        <f t="shared" si="4"/>
        <v/>
      </c>
      <c r="F72" s="18" t="str">
        <f t="shared" si="5"/>
        <v/>
      </c>
      <c r="G72" s="17"/>
      <c r="H72" s="46"/>
      <c r="I72" s="17"/>
    </row>
    <row r="73" spans="1:9" x14ac:dyDescent="0.25">
      <c r="A73" s="46"/>
      <c r="B73" s="46"/>
      <c r="C73" s="46" t="str">
        <f>IFERROR(VLOOKUP(B73,likelihood!A:F,6,FALSE),"")</f>
        <v/>
      </c>
      <c r="D73" s="46" t="str">
        <f>IFERROR(VLOOKUP(B73,Impact_Assessment!A:L,6,FALSE),"")</f>
        <v/>
      </c>
      <c r="E73" s="46" t="str">
        <f t="shared" si="4"/>
        <v/>
      </c>
      <c r="F73" s="18" t="str">
        <f t="shared" si="5"/>
        <v/>
      </c>
      <c r="G73" s="17"/>
      <c r="H73" s="46"/>
      <c r="I73" s="17"/>
    </row>
    <row r="74" spans="1:9" x14ac:dyDescent="0.25">
      <c r="A74" s="46"/>
      <c r="B74" s="46"/>
      <c r="C74" s="46" t="str">
        <f>IFERROR(VLOOKUP(B74,likelihood!A:F,6,FALSE),"")</f>
        <v/>
      </c>
      <c r="D74" s="46" t="str">
        <f>IFERROR(VLOOKUP(B74,Impact_Assessment!A:L,6,FALSE),"")</f>
        <v/>
      </c>
      <c r="E74" s="46" t="str">
        <f t="shared" si="4"/>
        <v/>
      </c>
      <c r="F74" s="18" t="str">
        <f t="shared" si="5"/>
        <v/>
      </c>
      <c r="G74" s="17"/>
      <c r="H74" s="46"/>
      <c r="I74" s="17"/>
    </row>
    <row r="75" spans="1:9" x14ac:dyDescent="0.25">
      <c r="A75" s="46"/>
      <c r="B75" s="46"/>
      <c r="C75" s="46" t="str">
        <f>IFERROR(VLOOKUP(B75,likelihood!A:F,6,FALSE),"")</f>
        <v/>
      </c>
      <c r="D75" s="46" t="str">
        <f>IFERROR(VLOOKUP(B75,Impact_Assessment!A:L,6,FALSE),"")</f>
        <v/>
      </c>
      <c r="E75" s="46" t="str">
        <f t="shared" si="4"/>
        <v/>
      </c>
      <c r="F75" s="18" t="str">
        <f t="shared" si="5"/>
        <v/>
      </c>
      <c r="G75" s="17"/>
      <c r="H75" s="46"/>
      <c r="I75" s="17"/>
    </row>
    <row r="76" spans="1:9" x14ac:dyDescent="0.25">
      <c r="A76" s="46"/>
      <c r="B76" s="46"/>
      <c r="C76" s="46" t="str">
        <f>IFERROR(VLOOKUP(B76,likelihood!A:F,6,FALSE),"")</f>
        <v/>
      </c>
      <c r="D76" s="46" t="str">
        <f>IFERROR(VLOOKUP(B76,Impact_Assessment!A:L,6,FALSE),"")</f>
        <v/>
      </c>
      <c r="E76" s="46" t="str">
        <f t="shared" si="4"/>
        <v/>
      </c>
      <c r="F76" s="18" t="str">
        <f t="shared" si="5"/>
        <v/>
      </c>
      <c r="G76" s="17"/>
      <c r="H76" s="46"/>
      <c r="I76" s="17"/>
    </row>
    <row r="77" spans="1:9" x14ac:dyDescent="0.25">
      <c r="A77" s="46"/>
      <c r="B77" s="46"/>
      <c r="C77" s="46" t="str">
        <f>IFERROR(VLOOKUP(B77,likelihood!A:F,6,FALSE),"")</f>
        <v/>
      </c>
      <c r="D77" s="46" t="str">
        <f>IFERROR(VLOOKUP(B77,Impact_Assessment!A:L,6,FALSE),"")</f>
        <v/>
      </c>
      <c r="E77" s="46" t="str">
        <f t="shared" si="4"/>
        <v/>
      </c>
      <c r="F77" s="18" t="str">
        <f t="shared" si="5"/>
        <v/>
      </c>
      <c r="G77" s="17"/>
      <c r="H77" s="46"/>
      <c r="I77" s="17"/>
    </row>
    <row r="78" spans="1:9" x14ac:dyDescent="0.25">
      <c r="A78" s="46"/>
      <c r="B78" s="46"/>
      <c r="C78" s="46" t="str">
        <f>IFERROR(VLOOKUP(B78,likelihood!A:F,6,FALSE),"")</f>
        <v/>
      </c>
      <c r="D78" s="46" t="str">
        <f>IFERROR(VLOOKUP(B78,Impact_Assessment!A:L,6,FALSE),"")</f>
        <v/>
      </c>
      <c r="E78" s="46" t="str">
        <f t="shared" si="4"/>
        <v/>
      </c>
      <c r="F78" s="18" t="str">
        <f t="shared" si="5"/>
        <v/>
      </c>
      <c r="G78" s="17"/>
      <c r="H78" s="46"/>
      <c r="I78" s="17"/>
    </row>
    <row r="79" spans="1:9" x14ac:dyDescent="0.25">
      <c r="A79" s="46"/>
      <c r="B79" s="46"/>
      <c r="C79" s="46" t="str">
        <f>IFERROR(VLOOKUP(B79,likelihood!A:F,6,FALSE),"")</f>
        <v/>
      </c>
      <c r="D79" s="46" t="str">
        <f>IFERROR(VLOOKUP(B79,Impact_Assessment!A:L,6,FALSE),"")</f>
        <v/>
      </c>
      <c r="E79" s="46" t="str">
        <f t="shared" si="4"/>
        <v/>
      </c>
      <c r="F79" s="18" t="str">
        <f t="shared" si="5"/>
        <v/>
      </c>
      <c r="G79" s="17"/>
      <c r="H79" s="46"/>
      <c r="I79" s="17"/>
    </row>
    <row r="80" spans="1:9" x14ac:dyDescent="0.25">
      <c r="A80" s="46"/>
      <c r="B80" s="46"/>
      <c r="C80" s="46" t="str">
        <f>IFERROR(VLOOKUP(B80,likelihood!A:F,6,FALSE),"")</f>
        <v/>
      </c>
      <c r="D80" s="46" t="str">
        <f>IFERROR(VLOOKUP(B80,Impact_Assessment!A:L,6,FALSE),"")</f>
        <v/>
      </c>
      <c r="E80" s="46" t="str">
        <f t="shared" si="4"/>
        <v/>
      </c>
      <c r="F80" s="18" t="str">
        <f t="shared" si="5"/>
        <v/>
      </c>
      <c r="G80" s="17"/>
      <c r="H80" s="46"/>
      <c r="I80" s="17"/>
    </row>
    <row r="81" spans="1:9" x14ac:dyDescent="0.25">
      <c r="A81" s="46"/>
      <c r="B81" s="46"/>
      <c r="C81" s="46" t="str">
        <f>IFERROR(VLOOKUP(B81,likelihood!A:F,6,FALSE),"")</f>
        <v/>
      </c>
      <c r="D81" s="46" t="str">
        <f>IFERROR(VLOOKUP(B81,Impact_Assessment!A:L,6,FALSE),"")</f>
        <v/>
      </c>
      <c r="E81" s="46" t="str">
        <f t="shared" si="4"/>
        <v/>
      </c>
      <c r="F81" s="18" t="str">
        <f t="shared" si="5"/>
        <v/>
      </c>
      <c r="G81" s="17"/>
      <c r="H81" s="46"/>
      <c r="I81" s="17"/>
    </row>
    <row r="82" spans="1:9" x14ac:dyDescent="0.25">
      <c r="A82" s="46"/>
      <c r="B82" s="46"/>
      <c r="C82" s="46" t="str">
        <f>IFERROR(VLOOKUP(B82,likelihood!A:F,6,FALSE),"")</f>
        <v/>
      </c>
      <c r="D82" s="46" t="str">
        <f>IFERROR(VLOOKUP(B82,Impact_Assessment!A:L,6,FALSE),"")</f>
        <v/>
      </c>
      <c r="E82" s="46" t="str">
        <f t="shared" si="4"/>
        <v/>
      </c>
      <c r="F82" s="18" t="str">
        <f t="shared" si="5"/>
        <v/>
      </c>
      <c r="G82" s="17"/>
      <c r="H82" s="46"/>
      <c r="I82" s="17"/>
    </row>
    <row r="83" spans="1:9" x14ac:dyDescent="0.25">
      <c r="A83" s="46"/>
      <c r="B83" s="46"/>
      <c r="C83" s="46" t="str">
        <f>IFERROR(VLOOKUP(B83,likelihood!A:F,6,FALSE),"")</f>
        <v/>
      </c>
      <c r="D83" s="46" t="str">
        <f>IFERROR(VLOOKUP(B83,Impact_Assessment!A:L,6,FALSE),"")</f>
        <v/>
      </c>
      <c r="E83" s="46" t="str">
        <f t="shared" si="4"/>
        <v/>
      </c>
      <c r="F83" s="18" t="str">
        <f t="shared" si="5"/>
        <v/>
      </c>
      <c r="G83" s="17"/>
      <c r="H83" s="46"/>
      <c r="I83" s="17"/>
    </row>
    <row r="84" spans="1:9" x14ac:dyDescent="0.25">
      <c r="A84" s="46"/>
      <c r="B84" s="46"/>
      <c r="C84" s="46" t="str">
        <f>IFERROR(VLOOKUP(B84,likelihood!A:F,6,FALSE),"")</f>
        <v/>
      </c>
      <c r="D84" s="46" t="str">
        <f>IFERROR(VLOOKUP(B84,Impact_Assessment!A:L,6,FALSE),"")</f>
        <v/>
      </c>
      <c r="E84" s="46" t="str">
        <f t="shared" si="4"/>
        <v/>
      </c>
      <c r="F84" s="18" t="str">
        <f t="shared" si="5"/>
        <v/>
      </c>
      <c r="G84" s="17"/>
      <c r="H84" s="46"/>
      <c r="I84" s="17"/>
    </row>
    <row r="85" spans="1:9" x14ac:dyDescent="0.25">
      <c r="A85" s="46"/>
      <c r="B85" s="46"/>
      <c r="C85" s="46" t="str">
        <f>IFERROR(VLOOKUP(B85,likelihood!A:F,6,FALSE),"")</f>
        <v/>
      </c>
      <c r="D85" s="46" t="str">
        <f>IFERROR(VLOOKUP(B85,Impact_Assessment!A:L,6,FALSE),"")</f>
        <v/>
      </c>
      <c r="E85" s="46" t="str">
        <f t="shared" si="4"/>
        <v/>
      </c>
      <c r="F85" s="18" t="str">
        <f t="shared" si="5"/>
        <v/>
      </c>
      <c r="G85" s="17"/>
      <c r="H85" s="46"/>
      <c r="I85" s="17"/>
    </row>
    <row r="86" spans="1:9" x14ac:dyDescent="0.25">
      <c r="A86" s="46"/>
      <c r="B86" s="46"/>
      <c r="C86" s="46" t="str">
        <f>IFERROR(VLOOKUP(B86,likelihood!A:F,6,FALSE),"")</f>
        <v/>
      </c>
      <c r="D86" s="46" t="str">
        <f>IFERROR(VLOOKUP(B86,Impact_Assessment!A:L,6,FALSE),"")</f>
        <v/>
      </c>
      <c r="E86" s="46" t="str">
        <f t="shared" si="4"/>
        <v/>
      </c>
      <c r="F86" s="18" t="str">
        <f t="shared" si="5"/>
        <v/>
      </c>
      <c r="G86" s="17"/>
      <c r="H86" s="46"/>
      <c r="I86" s="17"/>
    </row>
    <row r="87" spans="1:9" x14ac:dyDescent="0.25">
      <c r="A87" s="46"/>
      <c r="B87" s="46"/>
      <c r="C87" s="46" t="str">
        <f>IFERROR(VLOOKUP(B87,likelihood!A:F,6,FALSE),"")</f>
        <v/>
      </c>
      <c r="D87" s="46" t="str">
        <f>IFERROR(VLOOKUP(B87,Impact_Assessment!A:L,6,FALSE),"")</f>
        <v/>
      </c>
      <c r="E87" s="46" t="str">
        <f t="shared" si="4"/>
        <v/>
      </c>
      <c r="F87" s="18" t="str">
        <f t="shared" si="5"/>
        <v/>
      </c>
      <c r="G87" s="17"/>
      <c r="H87" s="46"/>
      <c r="I87" s="17"/>
    </row>
    <row r="88" spans="1:9" x14ac:dyDescent="0.25">
      <c r="A88" s="46"/>
      <c r="B88" s="46"/>
      <c r="C88" s="46" t="str">
        <f>IFERROR(VLOOKUP(B88,likelihood!A:F,6,FALSE),"")</f>
        <v/>
      </c>
      <c r="D88" s="46" t="str">
        <f>IFERROR(VLOOKUP(B88,Impact_Assessment!A:L,6,FALSE),"")</f>
        <v/>
      </c>
      <c r="E88" s="46" t="str">
        <f t="shared" si="4"/>
        <v/>
      </c>
      <c r="F88" s="18" t="str">
        <f t="shared" si="5"/>
        <v/>
      </c>
      <c r="G88" s="17"/>
      <c r="H88" s="46"/>
      <c r="I88" s="17"/>
    </row>
    <row r="89" spans="1:9" x14ac:dyDescent="0.25">
      <c r="A89" s="46"/>
      <c r="B89" s="46"/>
      <c r="C89" s="46" t="str">
        <f>IFERROR(VLOOKUP(B89,likelihood!A:F,6,FALSE),"")</f>
        <v/>
      </c>
      <c r="D89" s="46" t="str">
        <f>IFERROR(VLOOKUP(B89,Impact_Assessment!A:L,6,FALSE),"")</f>
        <v/>
      </c>
      <c r="E89" s="46" t="str">
        <f t="shared" si="4"/>
        <v/>
      </c>
      <c r="F89" s="18" t="str">
        <f t="shared" si="5"/>
        <v/>
      </c>
      <c r="G89" s="17"/>
      <c r="H89" s="46"/>
      <c r="I89" s="17"/>
    </row>
    <row r="90" spans="1:9" x14ac:dyDescent="0.25">
      <c r="A90" s="46"/>
      <c r="B90" s="46"/>
      <c r="C90" s="46" t="str">
        <f>IFERROR(VLOOKUP(B90,likelihood!A:F,6,FALSE),"")</f>
        <v/>
      </c>
      <c r="D90" s="46" t="str">
        <f>IFERROR(VLOOKUP(B90,Impact_Assessment!A:L,6,FALSE),"")</f>
        <v/>
      </c>
      <c r="E90" s="46" t="str">
        <f t="shared" si="4"/>
        <v/>
      </c>
      <c r="F90" s="18" t="str">
        <f t="shared" si="5"/>
        <v/>
      </c>
      <c r="G90" s="17"/>
      <c r="H90" s="46"/>
      <c r="I90" s="17"/>
    </row>
    <row r="91" spans="1:9" x14ac:dyDescent="0.25">
      <c r="A91" s="46"/>
      <c r="B91" s="46"/>
      <c r="C91" s="46" t="str">
        <f>IFERROR(VLOOKUP(B91,likelihood!A:F,6,FALSE),"")</f>
        <v/>
      </c>
      <c r="D91" s="46" t="str">
        <f>IFERROR(VLOOKUP(B91,Impact_Assessment!A:L,6,FALSE),"")</f>
        <v/>
      </c>
      <c r="E91" s="46" t="str">
        <f t="shared" si="4"/>
        <v/>
      </c>
      <c r="F91" s="18" t="str">
        <f t="shared" si="5"/>
        <v/>
      </c>
      <c r="G91" s="17"/>
      <c r="H91" s="46"/>
      <c r="I91" s="17"/>
    </row>
    <row r="92" spans="1:9" x14ac:dyDescent="0.25">
      <c r="A92" s="46"/>
      <c r="B92" s="46"/>
      <c r="C92" s="46" t="str">
        <f>IFERROR(VLOOKUP(B92,likelihood!A:F,6,FALSE),"")</f>
        <v/>
      </c>
      <c r="D92" s="46" t="str">
        <f>IFERROR(VLOOKUP(B92,Impact_Assessment!A:L,6,FALSE),"")</f>
        <v/>
      </c>
      <c r="E92" s="46" t="str">
        <f t="shared" si="4"/>
        <v/>
      </c>
      <c r="F92" s="18" t="str">
        <f t="shared" si="5"/>
        <v/>
      </c>
      <c r="G92" s="17"/>
      <c r="H92" s="46"/>
      <c r="I92" s="17"/>
    </row>
    <row r="93" spans="1:9" x14ac:dyDescent="0.25">
      <c r="A93" s="46"/>
      <c r="B93" s="46"/>
      <c r="C93" s="46" t="str">
        <f>IFERROR(VLOOKUP(B93,likelihood!A:F,6,FALSE),"")</f>
        <v/>
      </c>
      <c r="D93" s="46" t="str">
        <f>IFERROR(VLOOKUP(B93,Impact_Assessment!A:L,6,FALSE),"")</f>
        <v/>
      </c>
      <c r="E93" s="46" t="str">
        <f t="shared" si="4"/>
        <v/>
      </c>
      <c r="F93" s="18" t="str">
        <f t="shared" si="5"/>
        <v/>
      </c>
      <c r="G93" s="17"/>
      <c r="H93" s="46"/>
      <c r="I93" s="17"/>
    </row>
    <row r="94" spans="1:9" x14ac:dyDescent="0.25">
      <c r="A94" s="46"/>
      <c r="B94" s="46"/>
      <c r="C94" s="46" t="str">
        <f>IFERROR(VLOOKUP(B94,likelihood!A:F,6,FALSE),"")</f>
        <v/>
      </c>
      <c r="D94" s="46" t="str">
        <f>IFERROR(VLOOKUP(B94,Impact_Assessment!A:L,6,FALSE),"")</f>
        <v/>
      </c>
      <c r="E94" s="46" t="str">
        <f t="shared" si="4"/>
        <v/>
      </c>
      <c r="F94" s="18" t="str">
        <f t="shared" si="5"/>
        <v/>
      </c>
      <c r="G94" s="17"/>
      <c r="H94" s="46"/>
      <c r="I94" s="17"/>
    </row>
    <row r="95" spans="1:9" x14ac:dyDescent="0.25">
      <c r="A95" s="46"/>
      <c r="B95" s="46"/>
      <c r="C95" s="46" t="str">
        <f>IFERROR(VLOOKUP(B95,likelihood!A:F,6,FALSE),"")</f>
        <v/>
      </c>
      <c r="D95" s="46" t="str">
        <f>IFERROR(VLOOKUP(B95,Impact_Assessment!A:L,6,FALSE),"")</f>
        <v/>
      </c>
      <c r="E95" s="46" t="str">
        <f t="shared" si="4"/>
        <v/>
      </c>
      <c r="F95" s="18" t="str">
        <f t="shared" si="5"/>
        <v/>
      </c>
      <c r="G95" s="17"/>
      <c r="H95" s="46"/>
      <c r="I95" s="17"/>
    </row>
    <row r="96" spans="1:9" x14ac:dyDescent="0.25">
      <c r="A96" s="46"/>
      <c r="B96" s="46"/>
      <c r="C96" s="46" t="str">
        <f>IFERROR(VLOOKUP(B96,likelihood!A:F,6,FALSE),"")</f>
        <v/>
      </c>
      <c r="D96" s="46" t="str">
        <f>IFERROR(VLOOKUP(B96,Impact_Assessment!A:L,6,FALSE),"")</f>
        <v/>
      </c>
      <c r="E96" s="46" t="str">
        <f t="shared" si="4"/>
        <v/>
      </c>
      <c r="F96" s="18" t="str">
        <f t="shared" si="5"/>
        <v/>
      </c>
      <c r="G96" s="17"/>
      <c r="H96" s="46"/>
      <c r="I96" s="17"/>
    </row>
    <row r="97" spans="1:9" x14ac:dyDescent="0.25">
      <c r="A97" s="46"/>
      <c r="B97" s="46"/>
      <c r="C97" s="46" t="str">
        <f>IFERROR(VLOOKUP(B97,likelihood!A:F,6,FALSE),"")</f>
        <v/>
      </c>
      <c r="D97" s="46" t="str">
        <f>IFERROR(VLOOKUP(B97,Impact_Assessment!A:L,6,FALSE),"")</f>
        <v/>
      </c>
      <c r="E97" s="46" t="str">
        <f t="shared" si="4"/>
        <v/>
      </c>
      <c r="F97" s="18" t="str">
        <f t="shared" si="5"/>
        <v/>
      </c>
      <c r="G97" s="17"/>
      <c r="H97" s="46"/>
      <c r="I97" s="17"/>
    </row>
    <row r="98" spans="1:9" x14ac:dyDescent="0.25">
      <c r="A98" s="46"/>
      <c r="B98" s="46"/>
      <c r="C98" s="46" t="str">
        <f>IFERROR(VLOOKUP(B98,likelihood!A:F,6,FALSE),"")</f>
        <v/>
      </c>
      <c r="D98" s="46" t="str">
        <f>IFERROR(VLOOKUP(B98,Impact_Assessment!A:L,6,FALSE),"")</f>
        <v/>
      </c>
      <c r="E98" s="46" t="str">
        <f t="shared" si="4"/>
        <v/>
      </c>
      <c r="F98" s="18" t="str">
        <f t="shared" si="5"/>
        <v/>
      </c>
      <c r="G98" s="17"/>
      <c r="H98" s="46"/>
      <c r="I98" s="17"/>
    </row>
    <row r="99" spans="1:9" x14ac:dyDescent="0.25">
      <c r="A99" s="46"/>
      <c r="B99" s="46"/>
      <c r="C99" s="46" t="str">
        <f>IFERROR(VLOOKUP(B99,likelihood!A:F,6,FALSE),"")</f>
        <v/>
      </c>
      <c r="D99" s="46" t="str">
        <f>IFERROR(VLOOKUP(B99,Impact_Assessment!A:L,6,FALSE),"")</f>
        <v/>
      </c>
      <c r="E99" s="46" t="str">
        <f t="shared" si="4"/>
        <v/>
      </c>
      <c r="F99" s="18" t="str">
        <f t="shared" si="5"/>
        <v/>
      </c>
      <c r="G99" s="17"/>
      <c r="H99" s="46"/>
      <c r="I99" s="17"/>
    </row>
    <row r="100" spans="1:9" x14ac:dyDescent="0.25">
      <c r="A100" s="46"/>
      <c r="B100" s="46"/>
      <c r="C100" s="46" t="str">
        <f>IFERROR(VLOOKUP(B100,likelihood!A:F,6,FALSE),"")</f>
        <v/>
      </c>
      <c r="D100" s="46" t="str">
        <f>IFERROR(VLOOKUP(B100,Impact_Assessment!A:L,6,FALSE),"")</f>
        <v/>
      </c>
      <c r="E100" s="46" t="str">
        <f t="shared" si="4"/>
        <v/>
      </c>
      <c r="F100" s="18" t="str">
        <f t="shared" si="5"/>
        <v/>
      </c>
      <c r="G100" s="17"/>
      <c r="H100" s="46"/>
      <c r="I100" s="17"/>
    </row>
    <row r="101" spans="1:9" x14ac:dyDescent="0.25">
      <c r="A101" s="46"/>
      <c r="B101" s="46"/>
      <c r="C101" s="46" t="str">
        <f>IFERROR(VLOOKUP(B101,likelihood!A:F,6,FALSE),"")</f>
        <v/>
      </c>
      <c r="D101" s="46" t="str">
        <f>IFERROR(VLOOKUP(B101,Impact_Assessment!A:L,6,FALSE),"")</f>
        <v/>
      </c>
      <c r="E101" s="46" t="str">
        <f t="shared" si="4"/>
        <v/>
      </c>
      <c r="F101" s="18" t="str">
        <f t="shared" si="5"/>
        <v/>
      </c>
      <c r="G101" s="17"/>
      <c r="H101" s="46"/>
      <c r="I101" s="17"/>
    </row>
    <row r="102" spans="1:9" x14ac:dyDescent="0.25">
      <c r="A102" s="46"/>
      <c r="B102" s="46"/>
      <c r="C102" s="46" t="str">
        <f>IFERROR(VLOOKUP(B102,likelihood!A:F,6,FALSE),"")</f>
        <v/>
      </c>
      <c r="D102" s="46" t="str">
        <f>IFERROR(VLOOKUP(B102,Impact_Assessment!A:L,6,FALSE),"")</f>
        <v/>
      </c>
      <c r="E102" s="46" t="str">
        <f t="shared" si="4"/>
        <v/>
      </c>
      <c r="F102" s="18" t="str">
        <f t="shared" si="5"/>
        <v/>
      </c>
      <c r="G102" s="17"/>
      <c r="H102" s="46"/>
      <c r="I102" s="17"/>
    </row>
    <row r="103" spans="1:9" x14ac:dyDescent="0.25">
      <c r="A103" s="46"/>
      <c r="B103" s="46"/>
      <c r="C103" s="46" t="str">
        <f>IFERROR(VLOOKUP(B103,likelihood!A:F,6,FALSE),"")</f>
        <v/>
      </c>
      <c r="D103" s="46" t="str">
        <f>IFERROR(VLOOKUP(B103,Impact_Assessment!A:L,6,FALSE),"")</f>
        <v/>
      </c>
      <c r="E103" s="46" t="str">
        <f t="shared" si="4"/>
        <v/>
      </c>
      <c r="F103" s="18" t="str">
        <f t="shared" si="5"/>
        <v/>
      </c>
      <c r="G103" s="17"/>
      <c r="H103" s="46"/>
      <c r="I103" s="17"/>
    </row>
    <row r="104" spans="1:9" x14ac:dyDescent="0.25">
      <c r="A104" s="46"/>
      <c r="B104" s="46"/>
      <c r="C104" s="46" t="str">
        <f>IFERROR(VLOOKUP(B104,likelihood!A:F,6,FALSE),"")</f>
        <v/>
      </c>
      <c r="D104" s="46" t="str">
        <f>IFERROR(VLOOKUP(B104,Impact_Assessment!A:L,6,FALSE),"")</f>
        <v/>
      </c>
      <c r="E104" s="46" t="str">
        <f t="shared" si="4"/>
        <v/>
      </c>
      <c r="F104" s="18" t="str">
        <f t="shared" si="5"/>
        <v/>
      </c>
      <c r="G104" s="17"/>
      <c r="H104" s="46"/>
      <c r="I104" s="17"/>
    </row>
    <row r="105" spans="1:9" x14ac:dyDescent="0.25">
      <c r="A105" s="46"/>
      <c r="B105" s="46"/>
      <c r="C105" s="46" t="str">
        <f>IFERROR(VLOOKUP(B105,likelihood!A:F,6,FALSE),"")</f>
        <v/>
      </c>
      <c r="D105" s="46" t="str">
        <f>IFERROR(VLOOKUP(B105,Impact_Assessment!A:L,6,FALSE),"")</f>
        <v/>
      </c>
      <c r="E105" s="46" t="str">
        <f t="shared" si="4"/>
        <v/>
      </c>
      <c r="F105" s="18" t="str">
        <f t="shared" si="5"/>
        <v/>
      </c>
      <c r="G105" s="17"/>
      <c r="H105" s="46"/>
      <c r="I105" s="17"/>
    </row>
    <row r="106" spans="1:9" x14ac:dyDescent="0.25">
      <c r="A106" s="46"/>
      <c r="B106" s="46"/>
      <c r="C106" s="46" t="str">
        <f>IFERROR(VLOOKUP(B106,likelihood!A:F,6,FALSE),"")</f>
        <v/>
      </c>
      <c r="D106" s="46" t="str">
        <f>IFERROR(VLOOKUP(B106,Impact_Assessment!A:L,6,FALSE),"")</f>
        <v/>
      </c>
      <c r="E106" s="46" t="str">
        <f t="shared" si="4"/>
        <v/>
      </c>
      <c r="F106" s="18" t="str">
        <f t="shared" si="5"/>
        <v/>
      </c>
      <c r="G106" s="17"/>
      <c r="H106" s="46"/>
      <c r="I106" s="17"/>
    </row>
    <row r="107" spans="1:9" x14ac:dyDescent="0.25">
      <c r="A107" s="46"/>
      <c r="B107" s="46"/>
      <c r="C107" s="46" t="str">
        <f>IFERROR(VLOOKUP(B107,likelihood!A:F,6,FALSE),"")</f>
        <v/>
      </c>
      <c r="D107" s="46" t="str">
        <f>IFERROR(VLOOKUP(B107,Impact_Assessment!A:L,6,FALSE),"")</f>
        <v/>
      </c>
      <c r="E107" s="46" t="str">
        <f t="shared" si="4"/>
        <v/>
      </c>
      <c r="F107" s="18" t="str">
        <f t="shared" si="5"/>
        <v/>
      </c>
      <c r="G107" s="17"/>
      <c r="H107" s="46"/>
      <c r="I107" s="17"/>
    </row>
    <row r="108" spans="1:9" x14ac:dyDescent="0.25">
      <c r="A108" s="46"/>
      <c r="B108" s="46"/>
      <c r="C108" s="46" t="str">
        <f>IFERROR(VLOOKUP(B108,likelihood!A:F,6,FALSE),"")</f>
        <v/>
      </c>
      <c r="D108" s="46" t="str">
        <f>IFERROR(VLOOKUP(B108,Impact_Assessment!A:L,6,FALSE),"")</f>
        <v/>
      </c>
      <c r="E108" s="46" t="str">
        <f t="shared" si="4"/>
        <v/>
      </c>
      <c r="F108" s="18" t="str">
        <f t="shared" si="5"/>
        <v/>
      </c>
      <c r="G108" s="17"/>
      <c r="H108" s="46"/>
      <c r="I108" s="17"/>
    </row>
    <row r="109" spans="1:9" x14ac:dyDescent="0.25">
      <c r="A109" s="46"/>
      <c r="B109" s="46"/>
      <c r="C109" s="46" t="str">
        <f>IFERROR(VLOOKUP(B109,likelihood!A:F,6,FALSE),"")</f>
        <v/>
      </c>
      <c r="D109" s="46" t="str">
        <f>IFERROR(VLOOKUP(B109,Impact_Assessment!A:L,6,FALSE),"")</f>
        <v/>
      </c>
      <c r="E109" s="46" t="str">
        <f t="shared" si="4"/>
        <v/>
      </c>
      <c r="F109" s="18" t="str">
        <f t="shared" si="5"/>
        <v/>
      </c>
      <c r="G109" s="17"/>
      <c r="H109" s="46"/>
      <c r="I109" s="17"/>
    </row>
    <row r="110" spans="1:9" x14ac:dyDescent="0.25">
      <c r="A110" s="46"/>
      <c r="B110" s="46"/>
      <c r="C110" s="46" t="str">
        <f>IFERROR(VLOOKUP(B110,likelihood!A:F,6,FALSE),"")</f>
        <v/>
      </c>
      <c r="D110" s="46" t="str">
        <f>IFERROR(VLOOKUP(B110,Impact_Assessment!A:L,6,FALSE),"")</f>
        <v/>
      </c>
      <c r="E110" s="46" t="str">
        <f t="shared" si="4"/>
        <v/>
      </c>
      <c r="F110" s="18" t="str">
        <f t="shared" si="5"/>
        <v/>
      </c>
      <c r="G110" s="17"/>
      <c r="H110" s="46"/>
      <c r="I110" s="17"/>
    </row>
    <row r="111" spans="1:9" x14ac:dyDescent="0.25">
      <c r="A111" s="46"/>
      <c r="B111" s="46"/>
      <c r="C111" s="46" t="str">
        <f>IFERROR(VLOOKUP(B111,likelihood!A:F,6,FALSE),"")</f>
        <v/>
      </c>
      <c r="D111" s="46" t="str">
        <f>IFERROR(VLOOKUP(B111,Impact_Assessment!A:L,6,FALSE),"")</f>
        <v/>
      </c>
      <c r="E111" s="46" t="str">
        <f t="shared" si="4"/>
        <v/>
      </c>
      <c r="F111" s="18" t="str">
        <f t="shared" si="5"/>
        <v/>
      </c>
      <c r="G111" s="17"/>
      <c r="H111" s="46"/>
      <c r="I111" s="17"/>
    </row>
    <row r="112" spans="1:9" x14ac:dyDescent="0.25">
      <c r="A112" s="46"/>
      <c r="B112" s="46"/>
      <c r="C112" s="46" t="str">
        <f>IFERROR(VLOOKUP(B112,likelihood!A:F,6,FALSE),"")</f>
        <v/>
      </c>
      <c r="D112" s="46" t="str">
        <f>IFERROR(VLOOKUP(B112,Impact_Assessment!A:L,6,FALSE),"")</f>
        <v/>
      </c>
      <c r="E112" s="46" t="str">
        <f t="shared" si="4"/>
        <v/>
      </c>
      <c r="F112" s="18" t="str">
        <f t="shared" si="5"/>
        <v/>
      </c>
      <c r="G112" s="17"/>
      <c r="H112" s="46"/>
      <c r="I112" s="17"/>
    </row>
    <row r="113" spans="1:9" x14ac:dyDescent="0.25">
      <c r="A113" s="46"/>
      <c r="B113" s="46"/>
      <c r="C113" s="46" t="str">
        <f>IFERROR(VLOOKUP(B113,likelihood!A:F,6,FALSE),"")</f>
        <v/>
      </c>
      <c r="D113" s="46" t="str">
        <f>IFERROR(VLOOKUP(B113,Impact_Assessment!A:L,6,FALSE),"")</f>
        <v/>
      </c>
      <c r="E113" s="46" t="str">
        <f t="shared" si="4"/>
        <v/>
      </c>
      <c r="F113" s="18" t="str">
        <f t="shared" si="5"/>
        <v/>
      </c>
      <c r="G113" s="17"/>
      <c r="H113" s="46"/>
      <c r="I113" s="17"/>
    </row>
    <row r="114" spans="1:9" x14ac:dyDescent="0.25">
      <c r="A114" s="46"/>
      <c r="B114" s="46"/>
      <c r="C114" s="46" t="str">
        <f>IFERROR(VLOOKUP(B114,likelihood!A:F,6,FALSE),"")</f>
        <v/>
      </c>
      <c r="D114" s="46" t="str">
        <f>IFERROR(VLOOKUP(B114,Impact_Assessment!A:L,6,FALSE),"")</f>
        <v/>
      </c>
      <c r="E114" s="46" t="str">
        <f t="shared" si="4"/>
        <v/>
      </c>
      <c r="F114" s="18" t="str">
        <f t="shared" si="5"/>
        <v/>
      </c>
      <c r="G114" s="17"/>
      <c r="H114" s="46"/>
      <c r="I114" s="17"/>
    </row>
    <row r="115" spans="1:9" x14ac:dyDescent="0.25">
      <c r="A115" s="46"/>
      <c r="B115" s="46"/>
      <c r="C115" s="46" t="str">
        <f>IFERROR(VLOOKUP(B115,likelihood!A:F,6,FALSE),"")</f>
        <v/>
      </c>
      <c r="D115" s="46" t="str">
        <f>IFERROR(VLOOKUP(B115,Impact_Assessment!A:L,6,FALSE),"")</f>
        <v/>
      </c>
      <c r="E115" s="46" t="str">
        <f t="shared" si="4"/>
        <v/>
      </c>
      <c r="F115" s="18" t="str">
        <f t="shared" si="5"/>
        <v/>
      </c>
      <c r="G115" s="17"/>
      <c r="H115" s="46"/>
      <c r="I115" s="17"/>
    </row>
    <row r="116" spans="1:9" x14ac:dyDescent="0.25">
      <c r="A116" s="46"/>
      <c r="B116" s="46"/>
      <c r="C116" s="46" t="str">
        <f>IFERROR(VLOOKUP(B116,likelihood!A:F,6,FALSE),"")</f>
        <v/>
      </c>
      <c r="D116" s="46" t="str">
        <f>IFERROR(VLOOKUP(B116,Impact_Assessment!A:L,6,FALSE),"")</f>
        <v/>
      </c>
      <c r="E116" s="46" t="str">
        <f t="shared" si="4"/>
        <v/>
      </c>
      <c r="F116" s="18" t="str">
        <f t="shared" si="5"/>
        <v/>
      </c>
      <c r="G116" s="17"/>
      <c r="H116" s="46"/>
      <c r="I116" s="17"/>
    </row>
    <row r="117" spans="1:9" x14ac:dyDescent="0.25">
      <c r="A117" s="46"/>
      <c r="B117" s="46"/>
      <c r="C117" s="46" t="str">
        <f>IFERROR(VLOOKUP(B117,likelihood!A:F,6,FALSE),"")</f>
        <v/>
      </c>
      <c r="D117" s="46" t="str">
        <f>IFERROR(VLOOKUP(B117,Impact_Assessment!A:L,6,FALSE),"")</f>
        <v/>
      </c>
      <c r="E117" s="46" t="str">
        <f t="shared" si="4"/>
        <v/>
      </c>
      <c r="F117" s="18" t="str">
        <f t="shared" si="5"/>
        <v/>
      </c>
      <c r="G117" s="17"/>
      <c r="H117" s="46"/>
      <c r="I117" s="17"/>
    </row>
    <row r="118" spans="1:9" x14ac:dyDescent="0.25">
      <c r="A118" s="46"/>
      <c r="B118" s="46"/>
      <c r="C118" s="46" t="str">
        <f>IFERROR(VLOOKUP(B118,likelihood!A:F,6,FALSE),"")</f>
        <v/>
      </c>
      <c r="D118" s="46" t="str">
        <f>IFERROR(VLOOKUP(B118,Impact_Assessment!A:L,6,FALSE),"")</f>
        <v/>
      </c>
      <c r="E118" s="46" t="str">
        <f t="shared" si="4"/>
        <v/>
      </c>
      <c r="F118" s="18" t="str">
        <f t="shared" si="5"/>
        <v/>
      </c>
      <c r="G118" s="17"/>
      <c r="H118" s="46"/>
      <c r="I118" s="17"/>
    </row>
    <row r="119" spans="1:9" x14ac:dyDescent="0.25">
      <c r="A119" s="46"/>
      <c r="B119" s="46"/>
      <c r="C119" s="46" t="str">
        <f>IFERROR(VLOOKUP(B119,likelihood!A:F,6,FALSE),"")</f>
        <v/>
      </c>
      <c r="D119" s="46" t="str">
        <f>IFERROR(VLOOKUP(B119,Impact_Assessment!A:L,6,FALSE),"")</f>
        <v/>
      </c>
      <c r="E119" s="46" t="str">
        <f t="shared" si="4"/>
        <v/>
      </c>
      <c r="F119" s="18" t="str">
        <f t="shared" si="5"/>
        <v/>
      </c>
      <c r="G119" s="17"/>
      <c r="H119" s="46"/>
      <c r="I119" s="17"/>
    </row>
    <row r="120" spans="1:9" x14ac:dyDescent="0.25">
      <c r="A120" s="46"/>
      <c r="B120" s="46"/>
      <c r="C120" s="46" t="str">
        <f>IFERROR(VLOOKUP(B120,likelihood!A:F,6,FALSE),"")</f>
        <v/>
      </c>
      <c r="D120" s="46" t="str">
        <f>IFERROR(VLOOKUP(B120,Impact_Assessment!A:L,6,FALSE),"")</f>
        <v/>
      </c>
      <c r="E120" s="46" t="str">
        <f t="shared" si="4"/>
        <v/>
      </c>
      <c r="F120" s="18" t="str">
        <f t="shared" si="5"/>
        <v/>
      </c>
      <c r="G120" s="17"/>
      <c r="H120" s="46"/>
      <c r="I120" s="17"/>
    </row>
    <row r="121" spans="1:9" x14ac:dyDescent="0.25">
      <c r="A121" s="46"/>
      <c r="B121" s="46"/>
      <c r="C121" s="46" t="str">
        <f>IFERROR(VLOOKUP(B121,likelihood!A:F,6,FALSE),"")</f>
        <v/>
      </c>
      <c r="D121" s="46" t="str">
        <f>IFERROR(VLOOKUP(B121,Impact_Assessment!A:L,6,FALSE),"")</f>
        <v/>
      </c>
      <c r="E121" s="46" t="str">
        <f t="shared" si="4"/>
        <v/>
      </c>
      <c r="F121" s="18" t="str">
        <f t="shared" si="5"/>
        <v/>
      </c>
      <c r="G121" s="17"/>
      <c r="H121" s="46"/>
      <c r="I121" s="17"/>
    </row>
    <row r="122" spans="1:9" x14ac:dyDescent="0.25">
      <c r="A122" s="46"/>
      <c r="B122" s="46"/>
      <c r="C122" s="46" t="str">
        <f>IFERROR(VLOOKUP(B122,likelihood!A:F,6,FALSE),"")</f>
        <v/>
      </c>
      <c r="D122" s="46" t="str">
        <f>IFERROR(VLOOKUP(B122,Impact_Assessment!A:L,6,FALSE),"")</f>
        <v/>
      </c>
      <c r="E122" s="46" t="str">
        <f t="shared" si="4"/>
        <v/>
      </c>
      <c r="F122" s="18" t="str">
        <f t="shared" si="5"/>
        <v/>
      </c>
      <c r="G122" s="17"/>
      <c r="H122" s="46"/>
      <c r="I122" s="17"/>
    </row>
    <row r="123" spans="1:9" x14ac:dyDescent="0.25">
      <c r="A123" s="46"/>
      <c r="B123" s="46"/>
      <c r="C123" s="46" t="str">
        <f>IFERROR(VLOOKUP(B123,likelihood!A:F,6,FALSE),"")</f>
        <v/>
      </c>
      <c r="D123" s="46" t="str">
        <f>IFERROR(VLOOKUP(B123,Impact_Assessment!A:L,6,FALSE),"")</f>
        <v/>
      </c>
      <c r="E123" s="46" t="str">
        <f t="shared" si="4"/>
        <v/>
      </c>
      <c r="F123" s="18" t="str">
        <f t="shared" si="5"/>
        <v/>
      </c>
      <c r="G123" s="17"/>
      <c r="H123" s="46"/>
      <c r="I123" s="17"/>
    </row>
    <row r="124" spans="1:9" x14ac:dyDescent="0.25">
      <c r="A124" s="46"/>
      <c r="B124" s="46"/>
      <c r="C124" s="46" t="str">
        <f>IFERROR(VLOOKUP(B124,likelihood!A:F,6,FALSE),"")</f>
        <v/>
      </c>
      <c r="D124" s="46" t="str">
        <f>IFERROR(VLOOKUP(B124,Impact_Assessment!A:L,6,FALSE),"")</f>
        <v/>
      </c>
      <c r="E124" s="46" t="str">
        <f t="shared" si="4"/>
        <v/>
      </c>
      <c r="F124" s="18" t="str">
        <f t="shared" si="5"/>
        <v/>
      </c>
      <c r="G124" s="17"/>
      <c r="H124" s="46"/>
      <c r="I124" s="17"/>
    </row>
    <row r="125" spans="1:9" x14ac:dyDescent="0.25">
      <c r="A125" s="46"/>
      <c r="B125" s="46"/>
      <c r="C125" s="46" t="str">
        <f>IFERROR(VLOOKUP(B125,likelihood!A:F,6,FALSE),"")</f>
        <v/>
      </c>
      <c r="D125" s="46" t="str">
        <f>IFERROR(VLOOKUP(B125,Impact_Assessment!A:L,6,FALSE),"")</f>
        <v/>
      </c>
      <c r="E125" s="46" t="str">
        <f t="shared" si="4"/>
        <v/>
      </c>
      <c r="F125" s="18" t="str">
        <f t="shared" si="5"/>
        <v/>
      </c>
      <c r="G125" s="17"/>
      <c r="H125" s="46"/>
      <c r="I125" s="17"/>
    </row>
    <row r="126" spans="1:9" x14ac:dyDescent="0.25">
      <c r="A126" s="46"/>
      <c r="B126" s="46"/>
      <c r="C126" s="46" t="str">
        <f>IFERROR(VLOOKUP(B126,likelihood!A:F,6,FALSE),"")</f>
        <v/>
      </c>
      <c r="D126" s="46" t="str">
        <f>IFERROR(VLOOKUP(B126,Impact_Assessment!A:L,6,FALSE),"")</f>
        <v/>
      </c>
      <c r="E126" s="46" t="str">
        <f t="shared" si="4"/>
        <v/>
      </c>
      <c r="F126" s="18" t="str">
        <f t="shared" si="5"/>
        <v/>
      </c>
      <c r="G126" s="17"/>
      <c r="H126" s="46"/>
      <c r="I126" s="17"/>
    </row>
    <row r="127" spans="1:9" x14ac:dyDescent="0.25">
      <c r="A127" s="46"/>
      <c r="B127" s="46"/>
      <c r="C127" s="46" t="str">
        <f>IFERROR(VLOOKUP(B127,likelihood!A:F,6,FALSE),"")</f>
        <v/>
      </c>
      <c r="D127" s="46" t="str">
        <f>IFERROR(VLOOKUP(B127,Impact_Assessment!A:L,6,FALSE),"")</f>
        <v/>
      </c>
      <c r="E127" s="46" t="str">
        <f t="shared" si="4"/>
        <v/>
      </c>
      <c r="F127" s="18" t="str">
        <f t="shared" si="5"/>
        <v/>
      </c>
      <c r="G127" s="17"/>
      <c r="H127" s="46"/>
      <c r="I127" s="17"/>
    </row>
    <row r="128" spans="1:9" x14ac:dyDescent="0.25">
      <c r="A128" s="46"/>
      <c r="B128" s="46"/>
      <c r="C128" s="46" t="str">
        <f>IFERROR(VLOOKUP(B128,likelihood!A:F,6,FALSE),"")</f>
        <v/>
      </c>
      <c r="D128" s="46" t="str">
        <f>IFERROR(VLOOKUP(B128,Impact_Assessment!A:L,6,FALSE),"")</f>
        <v/>
      </c>
      <c r="E128" s="46" t="str">
        <f t="shared" si="4"/>
        <v/>
      </c>
      <c r="F128" s="18" t="str">
        <f t="shared" si="5"/>
        <v/>
      </c>
      <c r="G128" s="17"/>
      <c r="H128" s="46"/>
      <c r="I128" s="17"/>
    </row>
    <row r="129" spans="1:9" x14ac:dyDescent="0.25">
      <c r="A129" s="46"/>
      <c r="B129" s="46"/>
      <c r="C129" s="46" t="str">
        <f>IFERROR(VLOOKUP(B129,likelihood!A:F,6,FALSE),"")</f>
        <v/>
      </c>
      <c r="D129" s="46" t="str">
        <f>IFERROR(VLOOKUP(B129,Impact_Assessment!A:L,6,FALSE),"")</f>
        <v/>
      </c>
      <c r="E129" s="46" t="str">
        <f t="shared" si="4"/>
        <v/>
      </c>
      <c r="F129" s="18" t="str">
        <f t="shared" si="5"/>
        <v/>
      </c>
      <c r="G129" s="17"/>
      <c r="H129" s="46"/>
      <c r="I129" s="17"/>
    </row>
    <row r="130" spans="1:9" x14ac:dyDescent="0.25">
      <c r="A130" s="46"/>
      <c r="B130" s="46"/>
      <c r="C130" s="46" t="str">
        <f>IFERROR(VLOOKUP(B130,likelihood!A:F,6,FALSE),"")</f>
        <v/>
      </c>
      <c r="D130" s="46" t="str">
        <f>IFERROR(VLOOKUP(B130,Impact_Assessment!A:L,6,FALSE),"")</f>
        <v/>
      </c>
      <c r="E130" s="46" t="str">
        <f t="shared" ref="E130:E193" si="6">IF(C130&lt;&gt;"",C130*D130,"")</f>
        <v/>
      </c>
      <c r="F130" s="18" t="str">
        <f t="shared" si="5"/>
        <v/>
      </c>
      <c r="G130" s="17"/>
      <c r="H130" s="46"/>
      <c r="I130" s="17"/>
    </row>
    <row r="131" spans="1:9" x14ac:dyDescent="0.25">
      <c r="A131" s="46"/>
      <c r="B131" s="46"/>
      <c r="C131" s="46" t="str">
        <f>IFERROR(VLOOKUP(B131,likelihood!A:F,6,FALSE),"")</f>
        <v/>
      </c>
      <c r="D131" s="46" t="str">
        <f>IFERROR(VLOOKUP(B131,Impact_Assessment!A:L,6,FALSE),"")</f>
        <v/>
      </c>
      <c r="E131" s="46" t="str">
        <f t="shared" si="6"/>
        <v/>
      </c>
      <c r="F131" s="18" t="str">
        <f t="shared" ref="F131:F194" si="7">IF(E131="","",
 IF(E131&lt;=5,"Low",IF(E131&lt;=10,"Medium",
 IF(E131&lt;=15,"High","Critical"))))</f>
        <v/>
      </c>
      <c r="G131" s="17"/>
      <c r="H131" s="46"/>
      <c r="I131" s="17"/>
    </row>
    <row r="132" spans="1:9" x14ac:dyDescent="0.25">
      <c r="A132" s="46"/>
      <c r="B132" s="46"/>
      <c r="C132" s="46" t="str">
        <f>IFERROR(VLOOKUP(B132,likelihood!A:F,6,FALSE),"")</f>
        <v/>
      </c>
      <c r="D132" s="46" t="str">
        <f>IFERROR(VLOOKUP(B132,Impact_Assessment!A:L,6,FALSE),"")</f>
        <v/>
      </c>
      <c r="E132" s="46" t="str">
        <f t="shared" si="6"/>
        <v/>
      </c>
      <c r="F132" s="18" t="str">
        <f t="shared" si="7"/>
        <v/>
      </c>
      <c r="G132" s="17"/>
      <c r="H132" s="46"/>
      <c r="I132" s="17"/>
    </row>
    <row r="133" spans="1:9" x14ac:dyDescent="0.25">
      <c r="A133" s="46"/>
      <c r="B133" s="46"/>
      <c r="C133" s="46" t="str">
        <f>IFERROR(VLOOKUP(B133,likelihood!A:F,6,FALSE),"")</f>
        <v/>
      </c>
      <c r="D133" s="46" t="str">
        <f>IFERROR(VLOOKUP(B133,Impact_Assessment!A:L,6,FALSE),"")</f>
        <v/>
      </c>
      <c r="E133" s="46" t="str">
        <f t="shared" si="6"/>
        <v/>
      </c>
      <c r="F133" s="18" t="str">
        <f t="shared" si="7"/>
        <v/>
      </c>
      <c r="G133" s="17"/>
      <c r="H133" s="46"/>
      <c r="I133" s="17"/>
    </row>
    <row r="134" spans="1:9" x14ac:dyDescent="0.25">
      <c r="A134" s="46"/>
      <c r="B134" s="46"/>
      <c r="C134" s="46" t="str">
        <f>IFERROR(VLOOKUP(B134,likelihood!A:F,6,FALSE),"")</f>
        <v/>
      </c>
      <c r="D134" s="46" t="str">
        <f>IFERROR(VLOOKUP(B134,Impact_Assessment!A:L,6,FALSE),"")</f>
        <v/>
      </c>
      <c r="E134" s="46" t="str">
        <f t="shared" si="6"/>
        <v/>
      </c>
      <c r="F134" s="18" t="str">
        <f t="shared" si="7"/>
        <v/>
      </c>
      <c r="G134" s="17"/>
      <c r="H134" s="46"/>
      <c r="I134" s="17"/>
    </row>
    <row r="135" spans="1:9" x14ac:dyDescent="0.25">
      <c r="A135" s="46"/>
      <c r="B135" s="46"/>
      <c r="C135" s="46" t="str">
        <f>IFERROR(VLOOKUP(B135,likelihood!A:F,6,FALSE),"")</f>
        <v/>
      </c>
      <c r="D135" s="46" t="str">
        <f>IFERROR(VLOOKUP(B135,Impact_Assessment!A:L,6,FALSE),"")</f>
        <v/>
      </c>
      <c r="E135" s="46" t="str">
        <f t="shared" si="6"/>
        <v/>
      </c>
      <c r="F135" s="18" t="str">
        <f t="shared" si="7"/>
        <v/>
      </c>
      <c r="G135" s="17"/>
      <c r="H135" s="46"/>
      <c r="I135" s="17"/>
    </row>
    <row r="136" spans="1:9" x14ac:dyDescent="0.25">
      <c r="A136" s="46"/>
      <c r="B136" s="46"/>
      <c r="C136" s="46" t="str">
        <f>IFERROR(VLOOKUP(B136,likelihood!A:F,6,FALSE),"")</f>
        <v/>
      </c>
      <c r="D136" s="46" t="str">
        <f>IFERROR(VLOOKUP(B136,Impact_Assessment!A:L,6,FALSE),"")</f>
        <v/>
      </c>
      <c r="E136" s="46" t="str">
        <f t="shared" si="6"/>
        <v/>
      </c>
      <c r="F136" s="18" t="str">
        <f t="shared" si="7"/>
        <v/>
      </c>
      <c r="G136" s="17"/>
      <c r="H136" s="46"/>
      <c r="I136" s="17"/>
    </row>
    <row r="137" spans="1:9" x14ac:dyDescent="0.25">
      <c r="A137" s="46"/>
      <c r="B137" s="46"/>
      <c r="C137" s="46" t="str">
        <f>IFERROR(VLOOKUP(B137,likelihood!A:F,6,FALSE),"")</f>
        <v/>
      </c>
      <c r="D137" s="46" t="str">
        <f>IFERROR(VLOOKUP(B137,Impact_Assessment!A:L,6,FALSE),"")</f>
        <v/>
      </c>
      <c r="E137" s="46" t="str">
        <f t="shared" si="6"/>
        <v/>
      </c>
      <c r="F137" s="18" t="str">
        <f t="shared" si="7"/>
        <v/>
      </c>
      <c r="G137" s="17"/>
      <c r="H137" s="46"/>
      <c r="I137" s="17"/>
    </row>
    <row r="138" spans="1:9" x14ac:dyDescent="0.25">
      <c r="A138" s="46"/>
      <c r="B138" s="46"/>
      <c r="C138" s="46" t="str">
        <f>IFERROR(VLOOKUP(B138,likelihood!A:F,6,FALSE),"")</f>
        <v/>
      </c>
      <c r="D138" s="46" t="str">
        <f>IFERROR(VLOOKUP(B138,Impact_Assessment!A:L,6,FALSE),"")</f>
        <v/>
      </c>
      <c r="E138" s="46" t="str">
        <f t="shared" si="6"/>
        <v/>
      </c>
      <c r="F138" s="18" t="str">
        <f t="shared" si="7"/>
        <v/>
      </c>
      <c r="G138" s="17"/>
      <c r="H138" s="46"/>
      <c r="I138" s="17"/>
    </row>
    <row r="139" spans="1:9" x14ac:dyDescent="0.25">
      <c r="A139" s="46"/>
      <c r="B139" s="46"/>
      <c r="C139" s="46" t="str">
        <f>IFERROR(VLOOKUP(B139,likelihood!A:F,6,FALSE),"")</f>
        <v/>
      </c>
      <c r="D139" s="46" t="str">
        <f>IFERROR(VLOOKUP(B139,Impact_Assessment!A:L,6,FALSE),"")</f>
        <v/>
      </c>
      <c r="E139" s="46" t="str">
        <f t="shared" si="6"/>
        <v/>
      </c>
      <c r="F139" s="18" t="str">
        <f t="shared" si="7"/>
        <v/>
      </c>
      <c r="G139" s="17"/>
      <c r="H139" s="46"/>
      <c r="I139" s="17"/>
    </row>
    <row r="140" spans="1:9" x14ac:dyDescent="0.25">
      <c r="A140" s="46"/>
      <c r="B140" s="46"/>
      <c r="C140" s="46" t="str">
        <f>IFERROR(VLOOKUP(B140,likelihood!A:F,6,FALSE),"")</f>
        <v/>
      </c>
      <c r="D140" s="46" t="str">
        <f>IFERROR(VLOOKUP(B140,Impact_Assessment!A:L,6,FALSE),"")</f>
        <v/>
      </c>
      <c r="E140" s="46" t="str">
        <f t="shared" si="6"/>
        <v/>
      </c>
      <c r="F140" s="18" t="str">
        <f t="shared" si="7"/>
        <v/>
      </c>
      <c r="G140" s="17"/>
      <c r="H140" s="46"/>
      <c r="I140" s="17"/>
    </row>
    <row r="141" spans="1:9" x14ac:dyDescent="0.25">
      <c r="A141" s="46"/>
      <c r="B141" s="46"/>
      <c r="C141" s="46" t="str">
        <f>IFERROR(VLOOKUP(B141,likelihood!A:F,6,FALSE),"")</f>
        <v/>
      </c>
      <c r="D141" s="46" t="str">
        <f>IFERROR(VLOOKUP(B141,Impact_Assessment!A:L,6,FALSE),"")</f>
        <v/>
      </c>
      <c r="E141" s="46" t="str">
        <f t="shared" si="6"/>
        <v/>
      </c>
      <c r="F141" s="18" t="str">
        <f t="shared" si="7"/>
        <v/>
      </c>
      <c r="G141" s="17"/>
      <c r="H141" s="46"/>
      <c r="I141" s="17"/>
    </row>
    <row r="142" spans="1:9" x14ac:dyDescent="0.25">
      <c r="A142" s="46"/>
      <c r="B142" s="46"/>
      <c r="C142" s="46" t="str">
        <f>IFERROR(VLOOKUP(B142,likelihood!A:F,6,FALSE),"")</f>
        <v/>
      </c>
      <c r="D142" s="46" t="str">
        <f>IFERROR(VLOOKUP(B142,Impact_Assessment!A:L,6,FALSE),"")</f>
        <v/>
      </c>
      <c r="E142" s="46" t="str">
        <f t="shared" si="6"/>
        <v/>
      </c>
      <c r="F142" s="18" t="str">
        <f t="shared" si="7"/>
        <v/>
      </c>
      <c r="G142" s="17"/>
      <c r="H142" s="46"/>
      <c r="I142" s="17"/>
    </row>
    <row r="143" spans="1:9" x14ac:dyDescent="0.25">
      <c r="A143" s="46"/>
      <c r="B143" s="46"/>
      <c r="C143" s="46" t="str">
        <f>IFERROR(VLOOKUP(B143,likelihood!A:F,6,FALSE),"")</f>
        <v/>
      </c>
      <c r="D143" s="46" t="str">
        <f>IFERROR(VLOOKUP(B143,Impact_Assessment!A:L,6,FALSE),"")</f>
        <v/>
      </c>
      <c r="E143" s="46" t="str">
        <f t="shared" si="6"/>
        <v/>
      </c>
      <c r="F143" s="18" t="str">
        <f t="shared" si="7"/>
        <v/>
      </c>
      <c r="G143" s="17"/>
      <c r="H143" s="46"/>
      <c r="I143" s="17"/>
    </row>
    <row r="144" spans="1:9" x14ac:dyDescent="0.25">
      <c r="A144" s="46"/>
      <c r="B144" s="46"/>
      <c r="C144" s="46" t="str">
        <f>IFERROR(VLOOKUP(B144,likelihood!A:F,6,FALSE),"")</f>
        <v/>
      </c>
      <c r="D144" s="46" t="str">
        <f>IFERROR(VLOOKUP(B144,Impact_Assessment!A:L,6,FALSE),"")</f>
        <v/>
      </c>
      <c r="E144" s="46" t="str">
        <f t="shared" si="6"/>
        <v/>
      </c>
      <c r="F144" s="18" t="str">
        <f t="shared" si="7"/>
        <v/>
      </c>
      <c r="G144" s="17"/>
      <c r="H144" s="46"/>
      <c r="I144" s="17"/>
    </row>
    <row r="145" spans="1:9" x14ac:dyDescent="0.25">
      <c r="A145" s="46"/>
      <c r="B145" s="46"/>
      <c r="C145" s="46" t="str">
        <f>IFERROR(VLOOKUP(B145,likelihood!A:F,6,FALSE),"")</f>
        <v/>
      </c>
      <c r="D145" s="46" t="str">
        <f>IFERROR(VLOOKUP(B145,Impact_Assessment!A:L,6,FALSE),"")</f>
        <v/>
      </c>
      <c r="E145" s="46" t="str">
        <f t="shared" si="6"/>
        <v/>
      </c>
      <c r="F145" s="18" t="str">
        <f t="shared" si="7"/>
        <v/>
      </c>
      <c r="G145" s="17"/>
      <c r="H145" s="46"/>
      <c r="I145" s="17"/>
    </row>
    <row r="146" spans="1:9" x14ac:dyDescent="0.25">
      <c r="A146" s="46"/>
      <c r="B146" s="46"/>
      <c r="C146" s="46" t="str">
        <f>IFERROR(VLOOKUP(B146,likelihood!A:F,6,FALSE),"")</f>
        <v/>
      </c>
      <c r="D146" s="46" t="str">
        <f>IFERROR(VLOOKUP(B146,Impact_Assessment!A:L,6,FALSE),"")</f>
        <v/>
      </c>
      <c r="E146" s="46" t="str">
        <f t="shared" si="6"/>
        <v/>
      </c>
      <c r="F146" s="18" t="str">
        <f t="shared" si="7"/>
        <v/>
      </c>
      <c r="G146" s="17"/>
      <c r="H146" s="46"/>
      <c r="I146" s="17"/>
    </row>
    <row r="147" spans="1:9" x14ac:dyDescent="0.25">
      <c r="A147" s="46"/>
      <c r="B147" s="46"/>
      <c r="C147" s="46" t="str">
        <f>IFERROR(VLOOKUP(B147,likelihood!A:F,6,FALSE),"")</f>
        <v/>
      </c>
      <c r="D147" s="46" t="str">
        <f>IFERROR(VLOOKUP(B147,Impact_Assessment!A:L,6,FALSE),"")</f>
        <v/>
      </c>
      <c r="E147" s="46" t="str">
        <f t="shared" si="6"/>
        <v/>
      </c>
      <c r="F147" s="18" t="str">
        <f t="shared" si="7"/>
        <v/>
      </c>
      <c r="G147" s="17"/>
      <c r="H147" s="46"/>
      <c r="I147" s="17"/>
    </row>
    <row r="148" spans="1:9" x14ac:dyDescent="0.25">
      <c r="A148" s="46"/>
      <c r="B148" s="46"/>
      <c r="C148" s="46" t="str">
        <f>IFERROR(VLOOKUP(B148,likelihood!A:F,6,FALSE),"")</f>
        <v/>
      </c>
      <c r="D148" s="46" t="str">
        <f>IFERROR(VLOOKUP(B148,Impact_Assessment!A:L,6,FALSE),"")</f>
        <v/>
      </c>
      <c r="E148" s="46" t="str">
        <f t="shared" si="6"/>
        <v/>
      </c>
      <c r="F148" s="18" t="str">
        <f t="shared" si="7"/>
        <v/>
      </c>
      <c r="G148" s="17"/>
      <c r="H148" s="46"/>
      <c r="I148" s="17"/>
    </row>
    <row r="149" spans="1:9" x14ac:dyDescent="0.25">
      <c r="A149" s="46"/>
      <c r="B149" s="46"/>
      <c r="C149" s="46" t="str">
        <f>IFERROR(VLOOKUP(B149,likelihood!A:F,6,FALSE),"")</f>
        <v/>
      </c>
      <c r="D149" s="46" t="str">
        <f>IFERROR(VLOOKUP(B149,Impact_Assessment!A:L,6,FALSE),"")</f>
        <v/>
      </c>
      <c r="E149" s="46" t="str">
        <f t="shared" si="6"/>
        <v/>
      </c>
      <c r="F149" s="18" t="str">
        <f t="shared" si="7"/>
        <v/>
      </c>
      <c r="G149" s="17"/>
      <c r="H149" s="46"/>
      <c r="I149" s="17"/>
    </row>
    <row r="150" spans="1:9" x14ac:dyDescent="0.25">
      <c r="A150" s="46"/>
      <c r="B150" s="46"/>
      <c r="C150" s="46" t="str">
        <f>IFERROR(VLOOKUP(B150,likelihood!A:F,6,FALSE),"")</f>
        <v/>
      </c>
      <c r="D150" s="46" t="str">
        <f>IFERROR(VLOOKUP(B150,Impact_Assessment!A:L,6,FALSE),"")</f>
        <v/>
      </c>
      <c r="E150" s="46" t="str">
        <f t="shared" si="6"/>
        <v/>
      </c>
      <c r="F150" s="18" t="str">
        <f t="shared" si="7"/>
        <v/>
      </c>
      <c r="G150" s="17"/>
      <c r="H150" s="46"/>
      <c r="I150" s="17"/>
    </row>
    <row r="151" spans="1:9" x14ac:dyDescent="0.25">
      <c r="A151" s="46"/>
      <c r="B151" s="46"/>
      <c r="C151" s="46" t="str">
        <f>IFERROR(VLOOKUP(B151,likelihood!A:F,6,FALSE),"")</f>
        <v/>
      </c>
      <c r="D151" s="46" t="str">
        <f>IFERROR(VLOOKUP(B151,Impact_Assessment!A:L,6,FALSE),"")</f>
        <v/>
      </c>
      <c r="E151" s="46" t="str">
        <f t="shared" si="6"/>
        <v/>
      </c>
      <c r="F151" s="18" t="str">
        <f t="shared" si="7"/>
        <v/>
      </c>
      <c r="G151" s="17"/>
      <c r="H151" s="46"/>
      <c r="I151" s="17"/>
    </row>
    <row r="152" spans="1:9" x14ac:dyDescent="0.25">
      <c r="A152" s="46"/>
      <c r="B152" s="46"/>
      <c r="C152" s="46" t="str">
        <f>IFERROR(VLOOKUP(B152,likelihood!A:F,6,FALSE),"")</f>
        <v/>
      </c>
      <c r="D152" s="46" t="str">
        <f>IFERROR(VLOOKUP(B152,Impact_Assessment!A:L,6,FALSE),"")</f>
        <v/>
      </c>
      <c r="E152" s="46" t="str">
        <f t="shared" si="6"/>
        <v/>
      </c>
      <c r="F152" s="18" t="str">
        <f t="shared" si="7"/>
        <v/>
      </c>
      <c r="G152" s="17"/>
      <c r="H152" s="46"/>
      <c r="I152" s="17"/>
    </row>
    <row r="153" spans="1:9" x14ac:dyDescent="0.25">
      <c r="A153" s="46"/>
      <c r="B153" s="46"/>
      <c r="C153" s="46" t="str">
        <f>IFERROR(VLOOKUP(B153,likelihood!A:F,6,FALSE),"")</f>
        <v/>
      </c>
      <c r="D153" s="46" t="str">
        <f>IFERROR(VLOOKUP(B153,Impact_Assessment!A:L,6,FALSE),"")</f>
        <v/>
      </c>
      <c r="E153" s="46" t="str">
        <f t="shared" si="6"/>
        <v/>
      </c>
      <c r="F153" s="18" t="str">
        <f t="shared" si="7"/>
        <v/>
      </c>
      <c r="G153" s="17"/>
      <c r="H153" s="46"/>
      <c r="I153" s="17"/>
    </row>
    <row r="154" spans="1:9" x14ac:dyDescent="0.25">
      <c r="A154" s="46"/>
      <c r="B154" s="46"/>
      <c r="C154" s="46" t="str">
        <f>IFERROR(VLOOKUP(B154,likelihood!A:F,6,FALSE),"")</f>
        <v/>
      </c>
      <c r="D154" s="46" t="str">
        <f>IFERROR(VLOOKUP(B154,Impact_Assessment!A:L,6,FALSE),"")</f>
        <v/>
      </c>
      <c r="E154" s="46" t="str">
        <f t="shared" si="6"/>
        <v/>
      </c>
      <c r="F154" s="18" t="str">
        <f t="shared" si="7"/>
        <v/>
      </c>
      <c r="G154" s="17"/>
      <c r="H154" s="46"/>
      <c r="I154" s="17"/>
    </row>
    <row r="155" spans="1:9" x14ac:dyDescent="0.25">
      <c r="A155" s="46"/>
      <c r="B155" s="46"/>
      <c r="C155" s="46" t="str">
        <f>IFERROR(VLOOKUP(B155,likelihood!A:F,6,FALSE),"")</f>
        <v/>
      </c>
      <c r="D155" s="46" t="str">
        <f>IFERROR(VLOOKUP(B155,Impact_Assessment!A:L,6,FALSE),"")</f>
        <v/>
      </c>
      <c r="E155" s="46" t="str">
        <f t="shared" si="6"/>
        <v/>
      </c>
      <c r="F155" s="18" t="str">
        <f t="shared" si="7"/>
        <v/>
      </c>
      <c r="G155" s="17"/>
      <c r="H155" s="46"/>
      <c r="I155" s="17"/>
    </row>
    <row r="156" spans="1:9" x14ac:dyDescent="0.25">
      <c r="A156" s="46"/>
      <c r="B156" s="46"/>
      <c r="C156" s="46" t="str">
        <f>IFERROR(VLOOKUP(B156,likelihood!A:F,6,FALSE),"")</f>
        <v/>
      </c>
      <c r="D156" s="46" t="str">
        <f>IFERROR(VLOOKUP(B156,Impact_Assessment!A:L,6,FALSE),"")</f>
        <v/>
      </c>
      <c r="E156" s="46" t="str">
        <f t="shared" si="6"/>
        <v/>
      </c>
      <c r="F156" s="18" t="str">
        <f t="shared" si="7"/>
        <v/>
      </c>
      <c r="G156" s="17"/>
      <c r="H156" s="46"/>
      <c r="I156" s="17"/>
    </row>
    <row r="157" spans="1:9" x14ac:dyDescent="0.25">
      <c r="A157" s="46"/>
      <c r="B157" s="46"/>
      <c r="C157" s="46" t="str">
        <f>IFERROR(VLOOKUP(B157,likelihood!A:F,6,FALSE),"")</f>
        <v/>
      </c>
      <c r="D157" s="46" t="str">
        <f>IFERROR(VLOOKUP(B157,Impact_Assessment!A:L,6,FALSE),"")</f>
        <v/>
      </c>
      <c r="E157" s="46" t="str">
        <f t="shared" si="6"/>
        <v/>
      </c>
      <c r="F157" s="18" t="str">
        <f t="shared" si="7"/>
        <v/>
      </c>
      <c r="G157" s="17"/>
      <c r="H157" s="46"/>
      <c r="I157" s="17"/>
    </row>
    <row r="158" spans="1:9" x14ac:dyDescent="0.25">
      <c r="A158" s="46"/>
      <c r="B158" s="46"/>
      <c r="C158" s="46" t="str">
        <f>IFERROR(VLOOKUP(B158,likelihood!A:F,6,FALSE),"")</f>
        <v/>
      </c>
      <c r="D158" s="46" t="str">
        <f>IFERROR(VLOOKUP(B158,Impact_Assessment!A:L,6,FALSE),"")</f>
        <v/>
      </c>
      <c r="E158" s="46" t="str">
        <f t="shared" si="6"/>
        <v/>
      </c>
      <c r="F158" s="18" t="str">
        <f t="shared" si="7"/>
        <v/>
      </c>
      <c r="G158" s="17"/>
      <c r="H158" s="46"/>
      <c r="I158" s="17"/>
    </row>
    <row r="159" spans="1:9" x14ac:dyDescent="0.25">
      <c r="A159" s="46"/>
      <c r="B159" s="46"/>
      <c r="C159" s="46" t="str">
        <f>IFERROR(VLOOKUP(B159,likelihood!A:F,6,FALSE),"")</f>
        <v/>
      </c>
      <c r="D159" s="46" t="str">
        <f>IFERROR(VLOOKUP(B159,Impact_Assessment!A:L,6,FALSE),"")</f>
        <v/>
      </c>
      <c r="E159" s="46" t="str">
        <f t="shared" si="6"/>
        <v/>
      </c>
      <c r="F159" s="18" t="str">
        <f t="shared" si="7"/>
        <v/>
      </c>
      <c r="G159" s="17"/>
      <c r="H159" s="46"/>
      <c r="I159" s="17"/>
    </row>
    <row r="160" spans="1:9" x14ac:dyDescent="0.25">
      <c r="A160" s="46"/>
      <c r="B160" s="46"/>
      <c r="C160" s="46" t="str">
        <f>IFERROR(VLOOKUP(B160,likelihood!A:F,6,FALSE),"")</f>
        <v/>
      </c>
      <c r="D160" s="46" t="str">
        <f>IFERROR(VLOOKUP(B160,Impact_Assessment!A:L,6,FALSE),"")</f>
        <v/>
      </c>
      <c r="E160" s="46" t="str">
        <f t="shared" si="6"/>
        <v/>
      </c>
      <c r="F160" s="18" t="str">
        <f t="shared" si="7"/>
        <v/>
      </c>
      <c r="G160" s="17"/>
      <c r="H160" s="46"/>
      <c r="I160" s="17"/>
    </row>
    <row r="161" spans="1:9" x14ac:dyDescent="0.25">
      <c r="A161" s="46"/>
      <c r="B161" s="46"/>
      <c r="C161" s="46" t="str">
        <f>IFERROR(VLOOKUP(B161,likelihood!A:F,6,FALSE),"")</f>
        <v/>
      </c>
      <c r="D161" s="46" t="str">
        <f>IFERROR(VLOOKUP(B161,Impact_Assessment!A:L,6,FALSE),"")</f>
        <v/>
      </c>
      <c r="E161" s="46" t="str">
        <f t="shared" si="6"/>
        <v/>
      </c>
      <c r="F161" s="18" t="str">
        <f t="shared" si="7"/>
        <v/>
      </c>
      <c r="G161" s="17"/>
      <c r="H161" s="46"/>
      <c r="I161" s="17"/>
    </row>
    <row r="162" spans="1:9" x14ac:dyDescent="0.25">
      <c r="A162" s="46"/>
      <c r="B162" s="46"/>
      <c r="C162" s="46" t="str">
        <f>IFERROR(VLOOKUP(B162,likelihood!A:F,6,FALSE),"")</f>
        <v/>
      </c>
      <c r="D162" s="46" t="str">
        <f>IFERROR(VLOOKUP(B162,Impact_Assessment!A:L,6,FALSE),"")</f>
        <v/>
      </c>
      <c r="E162" s="46" t="str">
        <f t="shared" si="6"/>
        <v/>
      </c>
      <c r="F162" s="18" t="str">
        <f t="shared" si="7"/>
        <v/>
      </c>
      <c r="G162" s="17"/>
      <c r="H162" s="46"/>
      <c r="I162" s="17"/>
    </row>
    <row r="163" spans="1:9" x14ac:dyDescent="0.25">
      <c r="A163" s="46"/>
      <c r="B163" s="46"/>
      <c r="C163" s="46" t="str">
        <f>IFERROR(VLOOKUP(B163,likelihood!A:F,6,FALSE),"")</f>
        <v/>
      </c>
      <c r="D163" s="46" t="str">
        <f>IFERROR(VLOOKUP(B163,Impact_Assessment!A:L,6,FALSE),"")</f>
        <v/>
      </c>
      <c r="E163" s="46" t="str">
        <f t="shared" si="6"/>
        <v/>
      </c>
      <c r="F163" s="18" t="str">
        <f t="shared" si="7"/>
        <v/>
      </c>
      <c r="G163" s="17"/>
      <c r="H163" s="46"/>
      <c r="I163" s="17"/>
    </row>
    <row r="164" spans="1:9" x14ac:dyDescent="0.25">
      <c r="A164" s="46"/>
      <c r="B164" s="46"/>
      <c r="C164" s="46" t="str">
        <f>IFERROR(VLOOKUP(B164,likelihood!A:F,6,FALSE),"")</f>
        <v/>
      </c>
      <c r="D164" s="46" t="str">
        <f>IFERROR(VLOOKUP(B164,Impact_Assessment!A:L,6,FALSE),"")</f>
        <v/>
      </c>
      <c r="E164" s="46" t="str">
        <f t="shared" si="6"/>
        <v/>
      </c>
      <c r="F164" s="18" t="str">
        <f t="shared" si="7"/>
        <v/>
      </c>
      <c r="G164" s="17"/>
      <c r="H164" s="46"/>
      <c r="I164" s="17"/>
    </row>
    <row r="165" spans="1:9" x14ac:dyDescent="0.25">
      <c r="A165" s="46"/>
      <c r="B165" s="46"/>
      <c r="C165" s="46" t="str">
        <f>IFERROR(VLOOKUP(B165,likelihood!A:F,6,FALSE),"")</f>
        <v/>
      </c>
      <c r="D165" s="46" t="str">
        <f>IFERROR(VLOOKUP(B165,Impact_Assessment!A:L,6,FALSE),"")</f>
        <v/>
      </c>
      <c r="E165" s="46" t="str">
        <f t="shared" si="6"/>
        <v/>
      </c>
      <c r="F165" s="18" t="str">
        <f t="shared" si="7"/>
        <v/>
      </c>
      <c r="G165" s="17"/>
      <c r="H165" s="46"/>
      <c r="I165" s="17"/>
    </row>
    <row r="166" spans="1:9" x14ac:dyDescent="0.25">
      <c r="A166" s="46"/>
      <c r="B166" s="46"/>
      <c r="C166" s="46" t="str">
        <f>IFERROR(VLOOKUP(B166,likelihood!A:F,6,FALSE),"")</f>
        <v/>
      </c>
      <c r="D166" s="46" t="str">
        <f>IFERROR(VLOOKUP(B166,Impact_Assessment!A:L,6,FALSE),"")</f>
        <v/>
      </c>
      <c r="E166" s="46" t="str">
        <f t="shared" si="6"/>
        <v/>
      </c>
      <c r="F166" s="18" t="str">
        <f t="shared" si="7"/>
        <v/>
      </c>
      <c r="G166" s="17"/>
      <c r="H166" s="46"/>
      <c r="I166" s="17"/>
    </row>
    <row r="167" spans="1:9" x14ac:dyDescent="0.25">
      <c r="A167" s="46"/>
      <c r="B167" s="46"/>
      <c r="C167" s="46" t="str">
        <f>IFERROR(VLOOKUP(B167,likelihood!A:F,6,FALSE),"")</f>
        <v/>
      </c>
      <c r="D167" s="46" t="str">
        <f>IFERROR(VLOOKUP(B167,Impact_Assessment!A:L,6,FALSE),"")</f>
        <v/>
      </c>
      <c r="E167" s="46" t="str">
        <f t="shared" si="6"/>
        <v/>
      </c>
      <c r="F167" s="18" t="str">
        <f t="shared" si="7"/>
        <v/>
      </c>
      <c r="G167" s="17"/>
      <c r="H167" s="46"/>
      <c r="I167" s="17"/>
    </row>
    <row r="168" spans="1:9" x14ac:dyDescent="0.25">
      <c r="A168" s="46"/>
      <c r="B168" s="46"/>
      <c r="C168" s="46" t="str">
        <f>IFERROR(VLOOKUP(B168,likelihood!A:F,6,FALSE),"")</f>
        <v/>
      </c>
      <c r="D168" s="46" t="str">
        <f>IFERROR(VLOOKUP(B168,Impact_Assessment!A:L,6,FALSE),"")</f>
        <v/>
      </c>
      <c r="E168" s="46" t="str">
        <f t="shared" si="6"/>
        <v/>
      </c>
      <c r="F168" s="18" t="str">
        <f t="shared" si="7"/>
        <v/>
      </c>
      <c r="G168" s="17"/>
      <c r="H168" s="46"/>
      <c r="I168" s="17"/>
    </row>
    <row r="169" spans="1:9" x14ac:dyDescent="0.25">
      <c r="A169" s="46"/>
      <c r="B169" s="46"/>
      <c r="C169" s="46" t="str">
        <f>IFERROR(VLOOKUP(B169,likelihood!A:F,6,FALSE),"")</f>
        <v/>
      </c>
      <c r="D169" s="46" t="str">
        <f>IFERROR(VLOOKUP(B169,Impact_Assessment!A:L,6,FALSE),"")</f>
        <v/>
      </c>
      <c r="E169" s="46" t="str">
        <f t="shared" si="6"/>
        <v/>
      </c>
      <c r="F169" s="18" t="str">
        <f t="shared" si="7"/>
        <v/>
      </c>
      <c r="G169" s="17"/>
      <c r="H169" s="46"/>
      <c r="I169" s="17"/>
    </row>
    <row r="170" spans="1:9" x14ac:dyDescent="0.25">
      <c r="A170" s="46"/>
      <c r="B170" s="46"/>
      <c r="C170" s="46" t="str">
        <f>IFERROR(VLOOKUP(B170,likelihood!A:F,6,FALSE),"")</f>
        <v/>
      </c>
      <c r="D170" s="46" t="str">
        <f>IFERROR(VLOOKUP(B170,Impact_Assessment!A:L,6,FALSE),"")</f>
        <v/>
      </c>
      <c r="E170" s="46" t="str">
        <f t="shared" si="6"/>
        <v/>
      </c>
      <c r="F170" s="18" t="str">
        <f t="shared" si="7"/>
        <v/>
      </c>
      <c r="G170" s="17"/>
      <c r="H170" s="46"/>
      <c r="I170" s="17"/>
    </row>
    <row r="171" spans="1:9" x14ac:dyDescent="0.25">
      <c r="A171" s="46"/>
      <c r="B171" s="46"/>
      <c r="C171" s="46" t="str">
        <f>IFERROR(VLOOKUP(B171,likelihood!A:F,6,FALSE),"")</f>
        <v/>
      </c>
      <c r="D171" s="46" t="str">
        <f>IFERROR(VLOOKUP(B171,Impact_Assessment!A:L,6,FALSE),"")</f>
        <v/>
      </c>
      <c r="E171" s="46" t="str">
        <f t="shared" si="6"/>
        <v/>
      </c>
      <c r="F171" s="18" t="str">
        <f t="shared" si="7"/>
        <v/>
      </c>
      <c r="G171" s="17"/>
      <c r="H171" s="46"/>
      <c r="I171" s="17"/>
    </row>
    <row r="172" spans="1:9" x14ac:dyDescent="0.25">
      <c r="A172" s="46"/>
      <c r="B172" s="46"/>
      <c r="C172" s="46" t="str">
        <f>IFERROR(VLOOKUP(B172,likelihood!A:F,6,FALSE),"")</f>
        <v/>
      </c>
      <c r="D172" s="46" t="str">
        <f>IFERROR(VLOOKUP(B172,Impact_Assessment!A:L,6,FALSE),"")</f>
        <v/>
      </c>
      <c r="E172" s="46" t="str">
        <f t="shared" si="6"/>
        <v/>
      </c>
      <c r="F172" s="18" t="str">
        <f t="shared" si="7"/>
        <v/>
      </c>
      <c r="G172" s="17"/>
      <c r="H172" s="46"/>
      <c r="I172" s="17"/>
    </row>
    <row r="173" spans="1:9" x14ac:dyDescent="0.25">
      <c r="A173" s="46"/>
      <c r="B173" s="46"/>
      <c r="C173" s="46" t="str">
        <f>IFERROR(VLOOKUP(B173,likelihood!A:F,6,FALSE),"")</f>
        <v/>
      </c>
      <c r="D173" s="46" t="str">
        <f>IFERROR(VLOOKUP(B173,Impact_Assessment!A:L,6,FALSE),"")</f>
        <v/>
      </c>
      <c r="E173" s="46" t="str">
        <f t="shared" si="6"/>
        <v/>
      </c>
      <c r="F173" s="18" t="str">
        <f t="shared" si="7"/>
        <v/>
      </c>
      <c r="G173" s="17"/>
      <c r="H173" s="46"/>
      <c r="I173" s="17"/>
    </row>
    <row r="174" spans="1:9" x14ac:dyDescent="0.25">
      <c r="A174" s="46"/>
      <c r="B174" s="46"/>
      <c r="C174" s="46" t="str">
        <f>IFERROR(VLOOKUP(B174,likelihood!A:F,6,FALSE),"")</f>
        <v/>
      </c>
      <c r="D174" s="46" t="str">
        <f>IFERROR(VLOOKUP(B174,Impact_Assessment!A:L,6,FALSE),"")</f>
        <v/>
      </c>
      <c r="E174" s="46" t="str">
        <f t="shared" si="6"/>
        <v/>
      </c>
      <c r="F174" s="18" t="str">
        <f t="shared" si="7"/>
        <v/>
      </c>
      <c r="G174" s="17"/>
      <c r="H174" s="46"/>
      <c r="I174" s="17"/>
    </row>
    <row r="175" spans="1:9" x14ac:dyDescent="0.25">
      <c r="A175" s="46"/>
      <c r="B175" s="46"/>
      <c r="C175" s="46" t="str">
        <f>IFERROR(VLOOKUP(B175,likelihood!A:F,6,FALSE),"")</f>
        <v/>
      </c>
      <c r="D175" s="46" t="str">
        <f>IFERROR(VLOOKUP(B175,Impact_Assessment!A:L,6,FALSE),"")</f>
        <v/>
      </c>
      <c r="E175" s="46" t="str">
        <f t="shared" si="6"/>
        <v/>
      </c>
      <c r="F175" s="18" t="str">
        <f t="shared" si="7"/>
        <v/>
      </c>
      <c r="G175" s="17"/>
      <c r="H175" s="46"/>
      <c r="I175" s="17"/>
    </row>
    <row r="176" spans="1:9" x14ac:dyDescent="0.25">
      <c r="A176" s="46"/>
      <c r="B176" s="46"/>
      <c r="C176" s="46" t="str">
        <f>IFERROR(VLOOKUP(B176,likelihood!A:F,6,FALSE),"")</f>
        <v/>
      </c>
      <c r="D176" s="46" t="str">
        <f>IFERROR(VLOOKUP(B176,Impact_Assessment!A:L,6,FALSE),"")</f>
        <v/>
      </c>
      <c r="E176" s="46" t="str">
        <f t="shared" si="6"/>
        <v/>
      </c>
      <c r="F176" s="18" t="str">
        <f t="shared" si="7"/>
        <v/>
      </c>
      <c r="G176" s="17"/>
      <c r="H176" s="46"/>
      <c r="I176" s="17"/>
    </row>
    <row r="177" spans="1:9" x14ac:dyDescent="0.25">
      <c r="A177" s="46"/>
      <c r="B177" s="46"/>
      <c r="C177" s="46" t="str">
        <f>IFERROR(VLOOKUP(B177,likelihood!A:F,6,FALSE),"")</f>
        <v/>
      </c>
      <c r="D177" s="46" t="str">
        <f>IFERROR(VLOOKUP(B177,Impact_Assessment!A:L,6,FALSE),"")</f>
        <v/>
      </c>
      <c r="E177" s="46" t="str">
        <f t="shared" si="6"/>
        <v/>
      </c>
      <c r="F177" s="18" t="str">
        <f t="shared" si="7"/>
        <v/>
      </c>
      <c r="G177" s="17"/>
      <c r="H177" s="46"/>
      <c r="I177" s="17"/>
    </row>
    <row r="178" spans="1:9" x14ac:dyDescent="0.25">
      <c r="A178" s="46"/>
      <c r="B178" s="46"/>
      <c r="C178" s="46" t="str">
        <f>IFERROR(VLOOKUP(B178,likelihood!A:F,6,FALSE),"")</f>
        <v/>
      </c>
      <c r="D178" s="46" t="str">
        <f>IFERROR(VLOOKUP(B178,Impact_Assessment!A:L,6,FALSE),"")</f>
        <v/>
      </c>
      <c r="E178" s="46" t="str">
        <f t="shared" si="6"/>
        <v/>
      </c>
      <c r="F178" s="18" t="str">
        <f t="shared" si="7"/>
        <v/>
      </c>
      <c r="G178" s="17"/>
      <c r="H178" s="46"/>
      <c r="I178" s="17"/>
    </row>
    <row r="179" spans="1:9" x14ac:dyDescent="0.25">
      <c r="A179" s="46"/>
      <c r="B179" s="46"/>
      <c r="C179" s="46" t="str">
        <f>IFERROR(VLOOKUP(B179,likelihood!A:F,6,FALSE),"")</f>
        <v/>
      </c>
      <c r="D179" s="46" t="str">
        <f>IFERROR(VLOOKUP(B179,Impact_Assessment!A:L,6,FALSE),"")</f>
        <v/>
      </c>
      <c r="E179" s="46" t="str">
        <f t="shared" si="6"/>
        <v/>
      </c>
      <c r="F179" s="18" t="str">
        <f t="shared" si="7"/>
        <v/>
      </c>
      <c r="G179" s="17"/>
      <c r="H179" s="46"/>
      <c r="I179" s="17"/>
    </row>
    <row r="180" spans="1:9" x14ac:dyDescent="0.25">
      <c r="A180" s="46"/>
      <c r="B180" s="46"/>
      <c r="C180" s="46" t="str">
        <f>IFERROR(VLOOKUP(B180,likelihood!A:F,6,FALSE),"")</f>
        <v/>
      </c>
      <c r="D180" s="46" t="str">
        <f>IFERROR(VLOOKUP(B180,Impact_Assessment!A:L,6,FALSE),"")</f>
        <v/>
      </c>
      <c r="E180" s="46" t="str">
        <f t="shared" si="6"/>
        <v/>
      </c>
      <c r="F180" s="18" t="str">
        <f t="shared" si="7"/>
        <v/>
      </c>
      <c r="G180" s="17"/>
      <c r="H180" s="46"/>
      <c r="I180" s="17"/>
    </row>
    <row r="181" spans="1:9" x14ac:dyDescent="0.25">
      <c r="A181" s="46"/>
      <c r="B181" s="46"/>
      <c r="C181" s="46" t="str">
        <f>IFERROR(VLOOKUP(B181,likelihood!A:F,6,FALSE),"")</f>
        <v/>
      </c>
      <c r="D181" s="46" t="str">
        <f>IFERROR(VLOOKUP(B181,Impact_Assessment!A:L,6,FALSE),"")</f>
        <v/>
      </c>
      <c r="E181" s="46" t="str">
        <f t="shared" si="6"/>
        <v/>
      </c>
      <c r="F181" s="18" t="str">
        <f t="shared" si="7"/>
        <v/>
      </c>
      <c r="G181" s="17"/>
      <c r="H181" s="46"/>
      <c r="I181" s="17"/>
    </row>
    <row r="182" spans="1:9" x14ac:dyDescent="0.25">
      <c r="A182" s="46"/>
      <c r="B182" s="46"/>
      <c r="C182" s="46" t="str">
        <f>IFERROR(VLOOKUP(B182,likelihood!A:F,6,FALSE),"")</f>
        <v/>
      </c>
      <c r="D182" s="46" t="str">
        <f>IFERROR(VLOOKUP(B182,Impact_Assessment!A:L,6,FALSE),"")</f>
        <v/>
      </c>
      <c r="E182" s="46" t="str">
        <f t="shared" si="6"/>
        <v/>
      </c>
      <c r="F182" s="18" t="str">
        <f t="shared" si="7"/>
        <v/>
      </c>
      <c r="G182" s="17"/>
      <c r="H182" s="46"/>
      <c r="I182" s="17"/>
    </row>
    <row r="183" spans="1:9" x14ac:dyDescent="0.25">
      <c r="A183" s="46"/>
      <c r="B183" s="46"/>
      <c r="C183" s="46" t="str">
        <f>IFERROR(VLOOKUP(B183,likelihood!A:F,6,FALSE),"")</f>
        <v/>
      </c>
      <c r="D183" s="46" t="str">
        <f>IFERROR(VLOOKUP(B183,Impact_Assessment!A:L,6,FALSE),"")</f>
        <v/>
      </c>
      <c r="E183" s="46" t="str">
        <f t="shared" si="6"/>
        <v/>
      </c>
      <c r="F183" s="18" t="str">
        <f t="shared" si="7"/>
        <v/>
      </c>
      <c r="G183" s="17"/>
      <c r="H183" s="46"/>
      <c r="I183" s="17"/>
    </row>
    <row r="184" spans="1:9" x14ac:dyDescent="0.25">
      <c r="A184" s="46"/>
      <c r="B184" s="46"/>
      <c r="C184" s="46" t="str">
        <f>IFERROR(VLOOKUP(B184,likelihood!A:F,6,FALSE),"")</f>
        <v/>
      </c>
      <c r="D184" s="46" t="str">
        <f>IFERROR(VLOOKUP(B184,Impact_Assessment!A:L,6,FALSE),"")</f>
        <v/>
      </c>
      <c r="E184" s="46" t="str">
        <f t="shared" si="6"/>
        <v/>
      </c>
      <c r="F184" s="18" t="str">
        <f t="shared" si="7"/>
        <v/>
      </c>
      <c r="G184" s="17"/>
      <c r="H184" s="46"/>
      <c r="I184" s="17"/>
    </row>
    <row r="185" spans="1:9" x14ac:dyDescent="0.25">
      <c r="A185" s="46"/>
      <c r="B185" s="46"/>
      <c r="C185" s="46" t="str">
        <f>IFERROR(VLOOKUP(B185,likelihood!A:F,6,FALSE),"")</f>
        <v/>
      </c>
      <c r="D185" s="46" t="str">
        <f>IFERROR(VLOOKUP(B185,Impact_Assessment!A:L,6,FALSE),"")</f>
        <v/>
      </c>
      <c r="E185" s="46" t="str">
        <f t="shared" si="6"/>
        <v/>
      </c>
      <c r="F185" s="18" t="str">
        <f t="shared" si="7"/>
        <v/>
      </c>
      <c r="G185" s="17"/>
      <c r="H185" s="46"/>
      <c r="I185" s="17"/>
    </row>
    <row r="186" spans="1:9" x14ac:dyDescent="0.25">
      <c r="A186" s="46"/>
      <c r="B186" s="46"/>
      <c r="C186" s="46" t="str">
        <f>IFERROR(VLOOKUP(B186,likelihood!A:F,6,FALSE),"")</f>
        <v/>
      </c>
      <c r="D186" s="46" t="str">
        <f>IFERROR(VLOOKUP(B186,Impact_Assessment!A:L,6,FALSE),"")</f>
        <v/>
      </c>
      <c r="E186" s="46" t="str">
        <f t="shared" si="6"/>
        <v/>
      </c>
      <c r="F186" s="18" t="str">
        <f t="shared" si="7"/>
        <v/>
      </c>
      <c r="G186" s="17"/>
      <c r="H186" s="46"/>
      <c r="I186" s="17"/>
    </row>
    <row r="187" spans="1:9" x14ac:dyDescent="0.25">
      <c r="A187" s="46"/>
      <c r="B187" s="46"/>
      <c r="C187" s="46" t="str">
        <f>IFERROR(VLOOKUP(B187,likelihood!A:F,6,FALSE),"")</f>
        <v/>
      </c>
      <c r="D187" s="46" t="str">
        <f>IFERROR(VLOOKUP(B187,Impact_Assessment!A:L,6,FALSE),"")</f>
        <v/>
      </c>
      <c r="E187" s="46" t="str">
        <f t="shared" si="6"/>
        <v/>
      </c>
      <c r="F187" s="18" t="str">
        <f t="shared" si="7"/>
        <v/>
      </c>
      <c r="G187" s="17"/>
      <c r="H187" s="46"/>
      <c r="I187" s="17"/>
    </row>
    <row r="188" spans="1:9" x14ac:dyDescent="0.25">
      <c r="A188" s="46"/>
      <c r="B188" s="46"/>
      <c r="C188" s="46" t="str">
        <f>IFERROR(VLOOKUP(B188,likelihood!A:F,6,FALSE),"")</f>
        <v/>
      </c>
      <c r="D188" s="46" t="str">
        <f>IFERROR(VLOOKUP(B188,Impact_Assessment!A:L,6,FALSE),"")</f>
        <v/>
      </c>
      <c r="E188" s="46" t="str">
        <f t="shared" si="6"/>
        <v/>
      </c>
      <c r="F188" s="18" t="str">
        <f t="shared" si="7"/>
        <v/>
      </c>
      <c r="G188" s="17"/>
      <c r="H188" s="46"/>
      <c r="I188" s="17"/>
    </row>
    <row r="189" spans="1:9" x14ac:dyDescent="0.25">
      <c r="A189" s="46"/>
      <c r="B189" s="46"/>
      <c r="C189" s="46" t="str">
        <f>IFERROR(VLOOKUP(B189,likelihood!A:F,6,FALSE),"")</f>
        <v/>
      </c>
      <c r="D189" s="46" t="str">
        <f>IFERROR(VLOOKUP(B189,Impact_Assessment!A:L,6,FALSE),"")</f>
        <v/>
      </c>
      <c r="E189" s="46" t="str">
        <f t="shared" si="6"/>
        <v/>
      </c>
      <c r="F189" s="18" t="str">
        <f t="shared" si="7"/>
        <v/>
      </c>
      <c r="G189" s="17"/>
      <c r="H189" s="46"/>
      <c r="I189" s="17"/>
    </row>
    <row r="190" spans="1:9" x14ac:dyDescent="0.25">
      <c r="A190" s="46"/>
      <c r="B190" s="46"/>
      <c r="C190" s="46" t="str">
        <f>IFERROR(VLOOKUP(B190,likelihood!A:F,6,FALSE),"")</f>
        <v/>
      </c>
      <c r="D190" s="46" t="str">
        <f>IFERROR(VLOOKUP(B190,Impact_Assessment!A:L,6,FALSE),"")</f>
        <v/>
      </c>
      <c r="E190" s="46" t="str">
        <f t="shared" si="6"/>
        <v/>
      </c>
      <c r="F190" s="18" t="str">
        <f t="shared" si="7"/>
        <v/>
      </c>
      <c r="G190" s="17"/>
      <c r="H190" s="46"/>
      <c r="I190" s="17"/>
    </row>
    <row r="191" spans="1:9" x14ac:dyDescent="0.25">
      <c r="A191" s="46"/>
      <c r="B191" s="46"/>
      <c r="C191" s="46" t="str">
        <f>IFERROR(VLOOKUP(B191,likelihood!A:F,6,FALSE),"")</f>
        <v/>
      </c>
      <c r="D191" s="46" t="str">
        <f>IFERROR(VLOOKUP(B191,Impact_Assessment!A:L,6,FALSE),"")</f>
        <v/>
      </c>
      <c r="E191" s="46" t="str">
        <f t="shared" si="6"/>
        <v/>
      </c>
      <c r="F191" s="18" t="str">
        <f t="shared" si="7"/>
        <v/>
      </c>
      <c r="G191" s="17"/>
      <c r="H191" s="46"/>
      <c r="I191" s="17"/>
    </row>
    <row r="192" spans="1:9" x14ac:dyDescent="0.25">
      <c r="A192" s="46"/>
      <c r="B192" s="46"/>
      <c r="C192" s="46" t="str">
        <f>IFERROR(VLOOKUP(B192,likelihood!A:F,6,FALSE),"")</f>
        <v/>
      </c>
      <c r="D192" s="46" t="str">
        <f>IFERROR(VLOOKUP(B192,Impact_Assessment!A:L,6,FALSE),"")</f>
        <v/>
      </c>
      <c r="E192" s="46" t="str">
        <f t="shared" si="6"/>
        <v/>
      </c>
      <c r="F192" s="18" t="str">
        <f t="shared" si="7"/>
        <v/>
      </c>
      <c r="G192" s="17"/>
      <c r="H192" s="46"/>
      <c r="I192" s="17"/>
    </row>
    <row r="193" spans="1:9" x14ac:dyDescent="0.25">
      <c r="A193" s="46"/>
      <c r="B193" s="46"/>
      <c r="C193" s="46" t="str">
        <f>IFERROR(VLOOKUP(B193,likelihood!A:F,6,FALSE),"")</f>
        <v/>
      </c>
      <c r="D193" s="46" t="str">
        <f>IFERROR(VLOOKUP(B193,Impact_Assessment!A:L,6,FALSE),"")</f>
        <v/>
      </c>
      <c r="E193" s="46" t="str">
        <f t="shared" si="6"/>
        <v/>
      </c>
      <c r="F193" s="18" t="str">
        <f t="shared" si="7"/>
        <v/>
      </c>
      <c r="G193" s="17"/>
      <c r="H193" s="46"/>
      <c r="I193" s="17"/>
    </row>
    <row r="194" spans="1:9" x14ac:dyDescent="0.25">
      <c r="A194" s="46"/>
      <c r="B194" s="46"/>
      <c r="C194" s="46" t="str">
        <f>IFERROR(VLOOKUP(B194,likelihood!A:F,6,FALSE),"")</f>
        <v/>
      </c>
      <c r="D194" s="46" t="str">
        <f>IFERROR(VLOOKUP(B194,Impact_Assessment!A:L,6,FALSE),"")</f>
        <v/>
      </c>
      <c r="E194" s="46" t="str">
        <f t="shared" ref="E194:E257" si="8">IF(C194&lt;&gt;"",C194*D194,"")</f>
        <v/>
      </c>
      <c r="F194" s="18" t="str">
        <f t="shared" si="7"/>
        <v/>
      </c>
      <c r="G194" s="17"/>
      <c r="H194" s="46"/>
      <c r="I194" s="17"/>
    </row>
    <row r="195" spans="1:9" x14ac:dyDescent="0.25">
      <c r="A195" s="46"/>
      <c r="B195" s="46"/>
      <c r="C195" s="46" t="str">
        <f>IFERROR(VLOOKUP(B195,likelihood!A:F,6,FALSE),"")</f>
        <v/>
      </c>
      <c r="D195" s="46" t="str">
        <f>IFERROR(VLOOKUP(B195,Impact_Assessment!A:L,6,FALSE),"")</f>
        <v/>
      </c>
      <c r="E195" s="46" t="str">
        <f t="shared" si="8"/>
        <v/>
      </c>
      <c r="F195" s="18" t="str">
        <f t="shared" ref="F195:F258" si="9">IF(E195="","",
 IF(E195&lt;=5,"Low",IF(E195&lt;=10,"Medium",
 IF(E195&lt;=15,"High","Critical"))))</f>
        <v/>
      </c>
      <c r="G195" s="17"/>
      <c r="H195" s="46"/>
      <c r="I195" s="17"/>
    </row>
    <row r="196" spans="1:9" x14ac:dyDescent="0.25">
      <c r="A196" s="46"/>
      <c r="B196" s="46"/>
      <c r="C196" s="46" t="str">
        <f>IFERROR(VLOOKUP(B196,likelihood!A:F,6,FALSE),"")</f>
        <v/>
      </c>
      <c r="D196" s="46" t="str">
        <f>IFERROR(VLOOKUP(B196,Impact_Assessment!A:L,6,FALSE),"")</f>
        <v/>
      </c>
      <c r="E196" s="46" t="str">
        <f t="shared" si="8"/>
        <v/>
      </c>
      <c r="F196" s="18" t="str">
        <f t="shared" si="9"/>
        <v/>
      </c>
      <c r="G196" s="17"/>
      <c r="H196" s="46"/>
      <c r="I196" s="17"/>
    </row>
    <row r="197" spans="1:9" x14ac:dyDescent="0.25">
      <c r="A197" s="46"/>
      <c r="B197" s="46"/>
      <c r="C197" s="46" t="str">
        <f>IFERROR(VLOOKUP(B197,likelihood!A:F,6,FALSE),"")</f>
        <v/>
      </c>
      <c r="D197" s="46" t="str">
        <f>IFERROR(VLOOKUP(B197,Impact_Assessment!A:L,6,FALSE),"")</f>
        <v/>
      </c>
      <c r="E197" s="46" t="str">
        <f t="shared" si="8"/>
        <v/>
      </c>
      <c r="F197" s="18" t="str">
        <f t="shared" si="9"/>
        <v/>
      </c>
      <c r="G197" s="17"/>
      <c r="H197" s="46"/>
      <c r="I197" s="17"/>
    </row>
    <row r="198" spans="1:9" x14ac:dyDescent="0.25">
      <c r="A198" s="46"/>
      <c r="B198" s="46"/>
      <c r="C198" s="46" t="str">
        <f>IFERROR(VLOOKUP(B198,likelihood!A:F,6,FALSE),"")</f>
        <v/>
      </c>
      <c r="D198" s="46" t="str">
        <f>IFERROR(VLOOKUP(B198,Impact_Assessment!A:L,6,FALSE),"")</f>
        <v/>
      </c>
      <c r="E198" s="46" t="str">
        <f t="shared" si="8"/>
        <v/>
      </c>
      <c r="F198" s="18" t="str">
        <f t="shared" si="9"/>
        <v/>
      </c>
      <c r="G198" s="17"/>
      <c r="H198" s="46"/>
      <c r="I198" s="17"/>
    </row>
    <row r="199" spans="1:9" x14ac:dyDescent="0.25">
      <c r="A199" s="46"/>
      <c r="B199" s="46"/>
      <c r="C199" s="46" t="str">
        <f>IFERROR(VLOOKUP(B199,likelihood!A:F,6,FALSE),"")</f>
        <v/>
      </c>
      <c r="D199" s="46" t="str">
        <f>IFERROR(VLOOKUP(B199,Impact_Assessment!A:L,6,FALSE),"")</f>
        <v/>
      </c>
      <c r="E199" s="46" t="str">
        <f t="shared" si="8"/>
        <v/>
      </c>
      <c r="F199" s="18" t="str">
        <f t="shared" si="9"/>
        <v/>
      </c>
      <c r="G199" s="17"/>
      <c r="H199" s="46"/>
      <c r="I199" s="17"/>
    </row>
    <row r="200" spans="1:9" x14ac:dyDescent="0.25">
      <c r="A200" s="46"/>
      <c r="B200" s="46"/>
      <c r="C200" s="46" t="str">
        <f>IFERROR(VLOOKUP(B200,likelihood!A:F,6,FALSE),"")</f>
        <v/>
      </c>
      <c r="D200" s="46" t="str">
        <f>IFERROR(VLOOKUP(B200,Impact_Assessment!A:L,6,FALSE),"")</f>
        <v/>
      </c>
      <c r="E200" s="46" t="str">
        <f t="shared" si="8"/>
        <v/>
      </c>
      <c r="F200" s="18" t="str">
        <f t="shared" si="9"/>
        <v/>
      </c>
      <c r="G200" s="17"/>
      <c r="H200" s="46"/>
      <c r="I200" s="17"/>
    </row>
    <row r="201" spans="1:9" x14ac:dyDescent="0.25">
      <c r="A201" s="46"/>
      <c r="B201" s="46"/>
      <c r="C201" s="46" t="str">
        <f>IFERROR(VLOOKUP(B201,likelihood!A:F,6,FALSE),"")</f>
        <v/>
      </c>
      <c r="D201" s="46" t="str">
        <f>IFERROR(VLOOKUP(B201,Impact_Assessment!A:L,6,FALSE),"")</f>
        <v/>
      </c>
      <c r="E201" s="46" t="str">
        <f t="shared" si="8"/>
        <v/>
      </c>
      <c r="F201" s="18" t="str">
        <f t="shared" si="9"/>
        <v/>
      </c>
      <c r="G201" s="17"/>
      <c r="H201" s="46"/>
      <c r="I201" s="17"/>
    </row>
    <row r="202" spans="1:9" x14ac:dyDescent="0.25">
      <c r="A202" s="46"/>
      <c r="B202" s="46"/>
      <c r="C202" s="46" t="str">
        <f>IFERROR(VLOOKUP(B202,likelihood!A:F,6,FALSE),"")</f>
        <v/>
      </c>
      <c r="D202" s="46" t="str">
        <f>IFERROR(VLOOKUP(B202,Impact_Assessment!A:L,6,FALSE),"")</f>
        <v/>
      </c>
      <c r="E202" s="46" t="str">
        <f t="shared" si="8"/>
        <v/>
      </c>
      <c r="F202" s="18" t="str">
        <f t="shared" si="9"/>
        <v/>
      </c>
      <c r="G202" s="17"/>
      <c r="H202" s="46"/>
      <c r="I202" s="17"/>
    </row>
    <row r="203" spans="1:9" x14ac:dyDescent="0.25">
      <c r="A203" s="46"/>
      <c r="B203" s="46"/>
      <c r="C203" s="46" t="str">
        <f>IFERROR(VLOOKUP(B203,likelihood!A:F,6,FALSE),"")</f>
        <v/>
      </c>
      <c r="D203" s="46" t="str">
        <f>IFERROR(VLOOKUP(B203,Impact_Assessment!A:L,6,FALSE),"")</f>
        <v/>
      </c>
      <c r="E203" s="46" t="str">
        <f t="shared" si="8"/>
        <v/>
      </c>
      <c r="F203" s="18" t="str">
        <f t="shared" si="9"/>
        <v/>
      </c>
      <c r="G203" s="17"/>
      <c r="H203" s="46"/>
      <c r="I203" s="17"/>
    </row>
    <row r="204" spans="1:9" x14ac:dyDescent="0.25">
      <c r="A204" s="46"/>
      <c r="B204" s="46"/>
      <c r="C204" s="46" t="str">
        <f>IFERROR(VLOOKUP(B204,likelihood!A:F,6,FALSE),"")</f>
        <v/>
      </c>
      <c r="D204" s="46" t="str">
        <f>IFERROR(VLOOKUP(B204,Impact_Assessment!A:L,6,FALSE),"")</f>
        <v/>
      </c>
      <c r="E204" s="46" t="str">
        <f t="shared" si="8"/>
        <v/>
      </c>
      <c r="F204" s="18" t="str">
        <f t="shared" si="9"/>
        <v/>
      </c>
      <c r="G204" s="17"/>
      <c r="H204" s="46"/>
      <c r="I204" s="17"/>
    </row>
    <row r="205" spans="1:9" x14ac:dyDescent="0.25">
      <c r="A205" s="46"/>
      <c r="B205" s="46"/>
      <c r="C205" s="46" t="str">
        <f>IFERROR(VLOOKUP(B205,likelihood!A:F,6,FALSE),"")</f>
        <v/>
      </c>
      <c r="D205" s="46" t="str">
        <f>IFERROR(VLOOKUP(B205,Impact_Assessment!A:L,6,FALSE),"")</f>
        <v/>
      </c>
      <c r="E205" s="46" t="str">
        <f t="shared" si="8"/>
        <v/>
      </c>
      <c r="F205" s="18" t="str">
        <f t="shared" si="9"/>
        <v/>
      </c>
      <c r="G205" s="17"/>
      <c r="H205" s="46"/>
      <c r="I205" s="17"/>
    </row>
    <row r="206" spans="1:9" x14ac:dyDescent="0.25">
      <c r="A206" s="46"/>
      <c r="B206" s="46"/>
      <c r="C206" s="46" t="str">
        <f>IFERROR(VLOOKUP(B206,likelihood!A:F,6,FALSE),"")</f>
        <v/>
      </c>
      <c r="D206" s="46" t="str">
        <f>IFERROR(VLOOKUP(B206,Impact_Assessment!A:L,6,FALSE),"")</f>
        <v/>
      </c>
      <c r="E206" s="46" t="str">
        <f t="shared" si="8"/>
        <v/>
      </c>
      <c r="F206" s="18" t="str">
        <f t="shared" si="9"/>
        <v/>
      </c>
      <c r="G206" s="17"/>
      <c r="H206" s="46"/>
      <c r="I206" s="17"/>
    </row>
    <row r="207" spans="1:9" x14ac:dyDescent="0.25">
      <c r="A207" s="46"/>
      <c r="B207" s="46"/>
      <c r="C207" s="46" t="str">
        <f>IFERROR(VLOOKUP(B207,likelihood!A:F,6,FALSE),"")</f>
        <v/>
      </c>
      <c r="D207" s="46" t="str">
        <f>IFERROR(VLOOKUP(B207,Impact_Assessment!A:L,6,FALSE),"")</f>
        <v/>
      </c>
      <c r="E207" s="46" t="str">
        <f t="shared" si="8"/>
        <v/>
      </c>
      <c r="F207" s="18" t="str">
        <f t="shared" si="9"/>
        <v/>
      </c>
      <c r="G207" s="17"/>
      <c r="H207" s="46"/>
      <c r="I207" s="17"/>
    </row>
    <row r="208" spans="1:9" x14ac:dyDescent="0.25">
      <c r="A208" s="46"/>
      <c r="B208" s="46"/>
      <c r="C208" s="46" t="str">
        <f>IFERROR(VLOOKUP(B208,likelihood!A:F,6,FALSE),"")</f>
        <v/>
      </c>
      <c r="D208" s="46" t="str">
        <f>IFERROR(VLOOKUP(B208,Impact_Assessment!A:L,6,FALSE),"")</f>
        <v/>
      </c>
      <c r="E208" s="46" t="str">
        <f t="shared" si="8"/>
        <v/>
      </c>
      <c r="F208" s="18" t="str">
        <f t="shared" si="9"/>
        <v/>
      </c>
      <c r="G208" s="17"/>
      <c r="H208" s="46"/>
      <c r="I208" s="17"/>
    </row>
    <row r="209" spans="1:9" x14ac:dyDescent="0.25">
      <c r="A209" s="46"/>
      <c r="B209" s="46"/>
      <c r="C209" s="46" t="str">
        <f>IFERROR(VLOOKUP(B209,likelihood!A:F,6,FALSE),"")</f>
        <v/>
      </c>
      <c r="D209" s="46" t="str">
        <f>IFERROR(VLOOKUP(B209,Impact_Assessment!A:L,6,FALSE),"")</f>
        <v/>
      </c>
      <c r="E209" s="46" t="str">
        <f t="shared" si="8"/>
        <v/>
      </c>
      <c r="F209" s="18" t="str">
        <f t="shared" si="9"/>
        <v/>
      </c>
      <c r="G209" s="17"/>
      <c r="H209" s="46"/>
      <c r="I209" s="17"/>
    </row>
    <row r="210" spans="1:9" x14ac:dyDescent="0.25">
      <c r="A210" s="46"/>
      <c r="B210" s="46"/>
      <c r="C210" s="46" t="str">
        <f>IFERROR(VLOOKUP(B210,likelihood!A:F,6,FALSE),"")</f>
        <v/>
      </c>
      <c r="D210" s="46" t="str">
        <f>IFERROR(VLOOKUP(B210,Impact_Assessment!A:L,6,FALSE),"")</f>
        <v/>
      </c>
      <c r="E210" s="46" t="str">
        <f t="shared" si="8"/>
        <v/>
      </c>
      <c r="F210" s="18" t="str">
        <f t="shared" si="9"/>
        <v/>
      </c>
      <c r="G210" s="17"/>
      <c r="H210" s="46"/>
      <c r="I210" s="17"/>
    </row>
    <row r="211" spans="1:9" x14ac:dyDescent="0.25">
      <c r="A211" s="46"/>
      <c r="B211" s="46"/>
      <c r="C211" s="46" t="str">
        <f>IFERROR(VLOOKUP(B211,likelihood!A:F,6,FALSE),"")</f>
        <v/>
      </c>
      <c r="D211" s="46" t="str">
        <f>IFERROR(VLOOKUP(B211,Impact_Assessment!A:L,6,FALSE),"")</f>
        <v/>
      </c>
      <c r="E211" s="46" t="str">
        <f t="shared" si="8"/>
        <v/>
      </c>
      <c r="F211" s="18" t="str">
        <f t="shared" si="9"/>
        <v/>
      </c>
      <c r="G211" s="17"/>
      <c r="H211" s="46"/>
      <c r="I211" s="17"/>
    </row>
    <row r="212" spans="1:9" x14ac:dyDescent="0.25">
      <c r="A212" s="46"/>
      <c r="B212" s="46"/>
      <c r="C212" s="46" t="str">
        <f>IFERROR(VLOOKUP(B212,likelihood!A:F,6,FALSE),"")</f>
        <v/>
      </c>
      <c r="D212" s="46" t="str">
        <f>IFERROR(VLOOKUP(B212,Impact_Assessment!A:L,6,FALSE),"")</f>
        <v/>
      </c>
      <c r="E212" s="46" t="str">
        <f t="shared" si="8"/>
        <v/>
      </c>
      <c r="F212" s="18" t="str">
        <f t="shared" si="9"/>
        <v/>
      </c>
      <c r="G212" s="17"/>
      <c r="H212" s="46"/>
      <c r="I212" s="17"/>
    </row>
    <row r="213" spans="1:9" x14ac:dyDescent="0.25">
      <c r="A213" s="46"/>
      <c r="B213" s="46"/>
      <c r="C213" s="46" t="str">
        <f>IFERROR(VLOOKUP(B213,likelihood!A:F,6,FALSE),"")</f>
        <v/>
      </c>
      <c r="D213" s="46" t="str">
        <f>IFERROR(VLOOKUP(B213,Impact_Assessment!A:L,6,FALSE),"")</f>
        <v/>
      </c>
      <c r="E213" s="46" t="str">
        <f t="shared" si="8"/>
        <v/>
      </c>
      <c r="F213" s="18" t="str">
        <f t="shared" si="9"/>
        <v/>
      </c>
      <c r="G213" s="17"/>
      <c r="H213" s="46"/>
      <c r="I213" s="17"/>
    </row>
    <row r="214" spans="1:9" x14ac:dyDescent="0.25">
      <c r="A214" s="46"/>
      <c r="B214" s="46"/>
      <c r="C214" s="46" t="str">
        <f>IFERROR(VLOOKUP(B214,likelihood!A:F,6,FALSE),"")</f>
        <v/>
      </c>
      <c r="D214" s="46" t="str">
        <f>IFERROR(VLOOKUP(B214,Impact_Assessment!A:L,6,FALSE),"")</f>
        <v/>
      </c>
      <c r="E214" s="46" t="str">
        <f t="shared" si="8"/>
        <v/>
      </c>
      <c r="F214" s="18" t="str">
        <f t="shared" si="9"/>
        <v/>
      </c>
      <c r="G214" s="17"/>
      <c r="H214" s="46"/>
      <c r="I214" s="17"/>
    </row>
    <row r="215" spans="1:9" x14ac:dyDescent="0.25">
      <c r="A215" s="46"/>
      <c r="B215" s="46"/>
      <c r="C215" s="46" t="str">
        <f>IFERROR(VLOOKUP(B215,likelihood!A:F,6,FALSE),"")</f>
        <v/>
      </c>
      <c r="D215" s="46" t="str">
        <f>IFERROR(VLOOKUP(B215,Impact_Assessment!A:L,6,FALSE),"")</f>
        <v/>
      </c>
      <c r="E215" s="46" t="str">
        <f t="shared" si="8"/>
        <v/>
      </c>
      <c r="F215" s="18" t="str">
        <f t="shared" si="9"/>
        <v/>
      </c>
      <c r="G215" s="17"/>
      <c r="H215" s="46"/>
      <c r="I215" s="17"/>
    </row>
    <row r="216" spans="1:9" x14ac:dyDescent="0.25">
      <c r="A216" s="46"/>
      <c r="B216" s="46"/>
      <c r="C216" s="46" t="str">
        <f>IFERROR(VLOOKUP(B216,likelihood!A:F,6,FALSE),"")</f>
        <v/>
      </c>
      <c r="D216" s="46" t="str">
        <f>IFERROR(VLOOKUP(B216,Impact_Assessment!A:L,6,FALSE),"")</f>
        <v/>
      </c>
      <c r="E216" s="46" t="str">
        <f t="shared" si="8"/>
        <v/>
      </c>
      <c r="F216" s="18" t="str">
        <f t="shared" si="9"/>
        <v/>
      </c>
      <c r="G216" s="17"/>
      <c r="H216" s="46"/>
      <c r="I216" s="17"/>
    </row>
    <row r="217" spans="1:9" x14ac:dyDescent="0.25">
      <c r="A217" s="46"/>
      <c r="B217" s="46"/>
      <c r="C217" s="46" t="str">
        <f>IFERROR(VLOOKUP(B217,likelihood!A:F,6,FALSE),"")</f>
        <v/>
      </c>
      <c r="D217" s="46" t="str">
        <f>IFERROR(VLOOKUP(B217,Impact_Assessment!A:L,6,FALSE),"")</f>
        <v/>
      </c>
      <c r="E217" s="46" t="str">
        <f t="shared" si="8"/>
        <v/>
      </c>
      <c r="F217" s="18" t="str">
        <f t="shared" si="9"/>
        <v/>
      </c>
      <c r="G217" s="17"/>
      <c r="H217" s="46"/>
      <c r="I217" s="17"/>
    </row>
    <row r="218" spans="1:9" x14ac:dyDescent="0.25">
      <c r="A218" s="46"/>
      <c r="B218" s="46"/>
      <c r="C218" s="46" t="str">
        <f>IFERROR(VLOOKUP(B218,likelihood!A:F,6,FALSE),"")</f>
        <v/>
      </c>
      <c r="D218" s="46" t="str">
        <f>IFERROR(VLOOKUP(B218,Impact_Assessment!A:L,6,FALSE),"")</f>
        <v/>
      </c>
      <c r="E218" s="46" t="str">
        <f t="shared" si="8"/>
        <v/>
      </c>
      <c r="F218" s="18" t="str">
        <f t="shared" si="9"/>
        <v/>
      </c>
      <c r="G218" s="17"/>
      <c r="H218" s="46"/>
      <c r="I218" s="17"/>
    </row>
    <row r="219" spans="1:9" x14ac:dyDescent="0.25">
      <c r="A219" s="46"/>
      <c r="B219" s="46"/>
      <c r="C219" s="46" t="str">
        <f>IFERROR(VLOOKUP(B219,likelihood!A:F,6,FALSE),"")</f>
        <v/>
      </c>
      <c r="D219" s="46" t="str">
        <f>IFERROR(VLOOKUP(B219,Impact_Assessment!A:L,6,FALSE),"")</f>
        <v/>
      </c>
      <c r="E219" s="46" t="str">
        <f t="shared" si="8"/>
        <v/>
      </c>
      <c r="F219" s="18" t="str">
        <f t="shared" si="9"/>
        <v/>
      </c>
      <c r="G219" s="17"/>
      <c r="H219" s="46"/>
      <c r="I219" s="17"/>
    </row>
    <row r="220" spans="1:9" x14ac:dyDescent="0.25">
      <c r="A220" s="46"/>
      <c r="B220" s="46"/>
      <c r="C220" s="46" t="str">
        <f>IFERROR(VLOOKUP(B220,likelihood!A:F,6,FALSE),"")</f>
        <v/>
      </c>
      <c r="D220" s="46" t="str">
        <f>IFERROR(VLOOKUP(B220,Impact_Assessment!A:L,6,FALSE),"")</f>
        <v/>
      </c>
      <c r="E220" s="46" t="str">
        <f t="shared" si="8"/>
        <v/>
      </c>
      <c r="F220" s="18" t="str">
        <f t="shared" si="9"/>
        <v/>
      </c>
      <c r="G220" s="17"/>
      <c r="H220" s="46"/>
      <c r="I220" s="17"/>
    </row>
    <row r="221" spans="1:9" x14ac:dyDescent="0.25">
      <c r="A221" s="46"/>
      <c r="B221" s="46"/>
      <c r="C221" s="46" t="str">
        <f>IFERROR(VLOOKUP(B221,likelihood!A:F,6,FALSE),"")</f>
        <v/>
      </c>
      <c r="D221" s="46" t="str">
        <f>IFERROR(VLOOKUP(B221,Impact_Assessment!A:L,6,FALSE),"")</f>
        <v/>
      </c>
      <c r="E221" s="46" t="str">
        <f t="shared" si="8"/>
        <v/>
      </c>
      <c r="F221" s="18" t="str">
        <f t="shared" si="9"/>
        <v/>
      </c>
      <c r="G221" s="17"/>
      <c r="H221" s="46"/>
      <c r="I221" s="17"/>
    </row>
    <row r="222" spans="1:9" x14ac:dyDescent="0.25">
      <c r="A222" s="46"/>
      <c r="B222" s="46"/>
      <c r="C222" s="46" t="str">
        <f>IFERROR(VLOOKUP(B222,likelihood!A:F,6,FALSE),"")</f>
        <v/>
      </c>
      <c r="D222" s="46" t="str">
        <f>IFERROR(VLOOKUP(B222,Impact_Assessment!A:L,6,FALSE),"")</f>
        <v/>
      </c>
      <c r="E222" s="46" t="str">
        <f t="shared" si="8"/>
        <v/>
      </c>
      <c r="F222" s="18" t="str">
        <f t="shared" si="9"/>
        <v/>
      </c>
      <c r="G222" s="17"/>
      <c r="H222" s="46"/>
      <c r="I222" s="17"/>
    </row>
    <row r="223" spans="1:9" x14ac:dyDescent="0.25">
      <c r="A223" s="46"/>
      <c r="B223" s="46"/>
      <c r="C223" s="46" t="str">
        <f>IFERROR(VLOOKUP(B223,likelihood!A:F,6,FALSE),"")</f>
        <v/>
      </c>
      <c r="D223" s="46" t="str">
        <f>IFERROR(VLOOKUP(B223,Impact_Assessment!A:L,6,FALSE),"")</f>
        <v/>
      </c>
      <c r="E223" s="46" t="str">
        <f t="shared" si="8"/>
        <v/>
      </c>
      <c r="F223" s="18" t="str">
        <f t="shared" si="9"/>
        <v/>
      </c>
      <c r="G223" s="17"/>
      <c r="H223" s="46"/>
      <c r="I223" s="17"/>
    </row>
    <row r="224" spans="1:9" x14ac:dyDescent="0.25">
      <c r="A224" s="46"/>
      <c r="B224" s="46"/>
      <c r="C224" s="46" t="str">
        <f>IFERROR(VLOOKUP(B224,likelihood!A:F,6,FALSE),"")</f>
        <v/>
      </c>
      <c r="D224" s="46" t="str">
        <f>IFERROR(VLOOKUP(B224,Impact_Assessment!A:L,6,FALSE),"")</f>
        <v/>
      </c>
      <c r="E224" s="46" t="str">
        <f t="shared" si="8"/>
        <v/>
      </c>
      <c r="F224" s="18" t="str">
        <f t="shared" si="9"/>
        <v/>
      </c>
      <c r="G224" s="17"/>
      <c r="H224" s="46"/>
      <c r="I224" s="17"/>
    </row>
    <row r="225" spans="1:9" x14ac:dyDescent="0.25">
      <c r="A225" s="46"/>
      <c r="B225" s="46"/>
      <c r="C225" s="46" t="str">
        <f>IFERROR(VLOOKUP(B225,likelihood!A:F,6,FALSE),"")</f>
        <v/>
      </c>
      <c r="D225" s="46" t="str">
        <f>IFERROR(VLOOKUP(B225,Impact_Assessment!A:L,6,FALSE),"")</f>
        <v/>
      </c>
      <c r="E225" s="46" t="str">
        <f t="shared" si="8"/>
        <v/>
      </c>
      <c r="F225" s="18" t="str">
        <f t="shared" si="9"/>
        <v/>
      </c>
      <c r="G225" s="17"/>
      <c r="H225" s="46"/>
      <c r="I225" s="17"/>
    </row>
    <row r="226" spans="1:9" x14ac:dyDescent="0.25">
      <c r="A226" s="46"/>
      <c r="B226" s="46"/>
      <c r="C226" s="46" t="str">
        <f>IFERROR(VLOOKUP(B226,likelihood!A:F,6,FALSE),"")</f>
        <v/>
      </c>
      <c r="D226" s="46" t="str">
        <f>IFERROR(VLOOKUP(B226,Impact_Assessment!A:L,6,FALSE),"")</f>
        <v/>
      </c>
      <c r="E226" s="46" t="str">
        <f t="shared" si="8"/>
        <v/>
      </c>
      <c r="F226" s="18" t="str">
        <f t="shared" si="9"/>
        <v/>
      </c>
      <c r="G226" s="17"/>
      <c r="H226" s="46"/>
      <c r="I226" s="17"/>
    </row>
    <row r="227" spans="1:9" x14ac:dyDescent="0.25">
      <c r="A227" s="46"/>
      <c r="B227" s="46"/>
      <c r="C227" s="46" t="str">
        <f>IFERROR(VLOOKUP(B227,likelihood!A:F,6,FALSE),"")</f>
        <v/>
      </c>
      <c r="D227" s="46" t="str">
        <f>IFERROR(VLOOKUP(B227,Impact_Assessment!A:L,6,FALSE),"")</f>
        <v/>
      </c>
      <c r="E227" s="46" t="str">
        <f t="shared" si="8"/>
        <v/>
      </c>
      <c r="F227" s="18" t="str">
        <f t="shared" si="9"/>
        <v/>
      </c>
      <c r="G227" s="17"/>
      <c r="H227" s="46"/>
      <c r="I227" s="17"/>
    </row>
    <row r="228" spans="1:9" x14ac:dyDescent="0.25">
      <c r="A228" s="46"/>
      <c r="B228" s="46"/>
      <c r="C228" s="46" t="str">
        <f>IFERROR(VLOOKUP(B228,likelihood!A:F,6,FALSE),"")</f>
        <v/>
      </c>
      <c r="D228" s="46" t="str">
        <f>IFERROR(VLOOKUP(B228,Impact_Assessment!A:L,6,FALSE),"")</f>
        <v/>
      </c>
      <c r="E228" s="46" t="str">
        <f t="shared" si="8"/>
        <v/>
      </c>
      <c r="F228" s="18" t="str">
        <f t="shared" si="9"/>
        <v/>
      </c>
      <c r="G228" s="17"/>
      <c r="H228" s="46"/>
      <c r="I228" s="17"/>
    </row>
    <row r="229" spans="1:9" x14ac:dyDescent="0.25">
      <c r="A229" s="46"/>
      <c r="B229" s="46"/>
      <c r="C229" s="46" t="str">
        <f>IFERROR(VLOOKUP(B229,likelihood!A:F,6,FALSE),"")</f>
        <v/>
      </c>
      <c r="D229" s="46" t="str">
        <f>IFERROR(VLOOKUP(B229,Impact_Assessment!A:L,6,FALSE),"")</f>
        <v/>
      </c>
      <c r="E229" s="46" t="str">
        <f t="shared" si="8"/>
        <v/>
      </c>
      <c r="F229" s="18" t="str">
        <f t="shared" si="9"/>
        <v/>
      </c>
      <c r="G229" s="17"/>
      <c r="H229" s="46"/>
      <c r="I229" s="17"/>
    </row>
    <row r="230" spans="1:9" x14ac:dyDescent="0.25">
      <c r="A230" s="46"/>
      <c r="B230" s="46"/>
      <c r="C230" s="46" t="str">
        <f>IFERROR(VLOOKUP(B230,likelihood!A:F,6,FALSE),"")</f>
        <v/>
      </c>
      <c r="D230" s="46" t="str">
        <f>IFERROR(VLOOKUP(B230,Impact_Assessment!A:L,6,FALSE),"")</f>
        <v/>
      </c>
      <c r="E230" s="46" t="str">
        <f t="shared" si="8"/>
        <v/>
      </c>
      <c r="F230" s="18" t="str">
        <f t="shared" si="9"/>
        <v/>
      </c>
      <c r="G230" s="17"/>
      <c r="H230" s="46"/>
      <c r="I230" s="17"/>
    </row>
    <row r="231" spans="1:9" x14ac:dyDescent="0.25">
      <c r="A231" s="46"/>
      <c r="B231" s="46"/>
      <c r="C231" s="46" t="str">
        <f>IFERROR(VLOOKUP(B231,likelihood!A:F,6,FALSE),"")</f>
        <v/>
      </c>
      <c r="D231" s="46" t="str">
        <f>IFERROR(VLOOKUP(B231,Impact_Assessment!A:L,6,FALSE),"")</f>
        <v/>
      </c>
      <c r="E231" s="46" t="str">
        <f t="shared" si="8"/>
        <v/>
      </c>
      <c r="F231" s="18" t="str">
        <f t="shared" si="9"/>
        <v/>
      </c>
      <c r="G231" s="17"/>
      <c r="H231" s="46"/>
      <c r="I231" s="17"/>
    </row>
    <row r="232" spans="1:9" x14ac:dyDescent="0.25">
      <c r="A232" s="46"/>
      <c r="B232" s="46"/>
      <c r="C232" s="46" t="str">
        <f>IFERROR(VLOOKUP(B232,likelihood!A:F,6,FALSE),"")</f>
        <v/>
      </c>
      <c r="D232" s="46" t="str">
        <f>IFERROR(VLOOKUP(B232,Impact_Assessment!A:L,6,FALSE),"")</f>
        <v/>
      </c>
      <c r="E232" s="46" t="str">
        <f t="shared" si="8"/>
        <v/>
      </c>
      <c r="F232" s="18" t="str">
        <f t="shared" si="9"/>
        <v/>
      </c>
      <c r="G232" s="17"/>
      <c r="H232" s="46"/>
      <c r="I232" s="17"/>
    </row>
    <row r="233" spans="1:9" x14ac:dyDescent="0.25">
      <c r="A233" s="46"/>
      <c r="B233" s="46"/>
      <c r="C233" s="46" t="str">
        <f>IFERROR(VLOOKUP(B233,likelihood!A:F,6,FALSE),"")</f>
        <v/>
      </c>
      <c r="D233" s="46" t="str">
        <f>IFERROR(VLOOKUP(B233,Impact_Assessment!A:L,6,FALSE),"")</f>
        <v/>
      </c>
      <c r="E233" s="46" t="str">
        <f t="shared" si="8"/>
        <v/>
      </c>
      <c r="F233" s="18" t="str">
        <f t="shared" si="9"/>
        <v/>
      </c>
      <c r="G233" s="17"/>
      <c r="H233" s="46"/>
      <c r="I233" s="17"/>
    </row>
    <row r="234" spans="1:9" x14ac:dyDescent="0.25">
      <c r="A234" s="46"/>
      <c r="B234" s="46"/>
      <c r="C234" s="46" t="str">
        <f>IFERROR(VLOOKUP(B234,likelihood!A:F,6,FALSE),"")</f>
        <v/>
      </c>
      <c r="D234" s="46" t="str">
        <f>IFERROR(VLOOKUP(B234,Impact_Assessment!A:L,6,FALSE),"")</f>
        <v/>
      </c>
      <c r="E234" s="46" t="str">
        <f t="shared" si="8"/>
        <v/>
      </c>
      <c r="F234" s="18" t="str">
        <f t="shared" si="9"/>
        <v/>
      </c>
      <c r="G234" s="17"/>
      <c r="H234" s="46"/>
      <c r="I234" s="17"/>
    </row>
    <row r="235" spans="1:9" x14ac:dyDescent="0.25">
      <c r="A235" s="46"/>
      <c r="B235" s="46"/>
      <c r="C235" s="46" t="str">
        <f>IFERROR(VLOOKUP(B235,likelihood!A:F,6,FALSE),"")</f>
        <v/>
      </c>
      <c r="D235" s="46" t="str">
        <f>IFERROR(VLOOKUP(B235,Impact_Assessment!A:L,6,FALSE),"")</f>
        <v/>
      </c>
      <c r="E235" s="46" t="str">
        <f t="shared" si="8"/>
        <v/>
      </c>
      <c r="F235" s="18" t="str">
        <f t="shared" si="9"/>
        <v/>
      </c>
      <c r="G235" s="17"/>
      <c r="H235" s="46"/>
      <c r="I235" s="17"/>
    </row>
    <row r="236" spans="1:9" x14ac:dyDescent="0.25">
      <c r="A236" s="46"/>
      <c r="B236" s="46"/>
      <c r="C236" s="46" t="str">
        <f>IFERROR(VLOOKUP(B236,likelihood!A:F,6,FALSE),"")</f>
        <v/>
      </c>
      <c r="D236" s="46" t="str">
        <f>IFERROR(VLOOKUP(B236,Impact_Assessment!A:L,6,FALSE),"")</f>
        <v/>
      </c>
      <c r="E236" s="46" t="str">
        <f t="shared" si="8"/>
        <v/>
      </c>
      <c r="F236" s="18" t="str">
        <f t="shared" si="9"/>
        <v/>
      </c>
      <c r="G236" s="17"/>
      <c r="H236" s="46"/>
      <c r="I236" s="17"/>
    </row>
    <row r="237" spans="1:9" x14ac:dyDescent="0.25">
      <c r="A237" s="46"/>
      <c r="B237" s="46"/>
      <c r="C237" s="46" t="str">
        <f>IFERROR(VLOOKUP(B237,likelihood!A:F,6,FALSE),"")</f>
        <v/>
      </c>
      <c r="D237" s="46" t="str">
        <f>IFERROR(VLOOKUP(B237,Impact_Assessment!A:L,6,FALSE),"")</f>
        <v/>
      </c>
      <c r="E237" s="46" t="str">
        <f t="shared" si="8"/>
        <v/>
      </c>
      <c r="F237" s="18" t="str">
        <f t="shared" si="9"/>
        <v/>
      </c>
      <c r="G237" s="17"/>
      <c r="H237" s="46"/>
      <c r="I237" s="17"/>
    </row>
    <row r="238" spans="1:9" x14ac:dyDescent="0.25">
      <c r="A238" s="46"/>
      <c r="B238" s="46"/>
      <c r="C238" s="46" t="str">
        <f>IFERROR(VLOOKUP(B238,likelihood!A:F,6,FALSE),"")</f>
        <v/>
      </c>
      <c r="D238" s="46" t="str">
        <f>IFERROR(VLOOKUP(B238,Impact_Assessment!A:L,6,FALSE),"")</f>
        <v/>
      </c>
      <c r="E238" s="46" t="str">
        <f t="shared" si="8"/>
        <v/>
      </c>
      <c r="F238" s="18" t="str">
        <f t="shared" si="9"/>
        <v/>
      </c>
      <c r="G238" s="17"/>
      <c r="H238" s="46"/>
      <c r="I238" s="17"/>
    </row>
    <row r="239" spans="1:9" x14ac:dyDescent="0.25">
      <c r="A239" s="46"/>
      <c r="B239" s="46"/>
      <c r="C239" s="46" t="str">
        <f>IFERROR(VLOOKUP(B239,likelihood!A:F,6,FALSE),"")</f>
        <v/>
      </c>
      <c r="D239" s="46" t="str">
        <f>IFERROR(VLOOKUP(B239,Impact_Assessment!A:L,6,FALSE),"")</f>
        <v/>
      </c>
      <c r="E239" s="46" t="str">
        <f t="shared" si="8"/>
        <v/>
      </c>
      <c r="F239" s="18" t="str">
        <f t="shared" si="9"/>
        <v/>
      </c>
      <c r="G239" s="17"/>
      <c r="H239" s="46"/>
      <c r="I239" s="17"/>
    </row>
    <row r="240" spans="1:9" x14ac:dyDescent="0.25">
      <c r="A240" s="46"/>
      <c r="B240" s="46"/>
      <c r="C240" s="46" t="str">
        <f>IFERROR(VLOOKUP(B240,likelihood!A:F,6,FALSE),"")</f>
        <v/>
      </c>
      <c r="D240" s="46" t="str">
        <f>IFERROR(VLOOKUP(B240,Impact_Assessment!A:L,6,FALSE),"")</f>
        <v/>
      </c>
      <c r="E240" s="46" t="str">
        <f t="shared" si="8"/>
        <v/>
      </c>
      <c r="F240" s="18" t="str">
        <f t="shared" si="9"/>
        <v/>
      </c>
      <c r="G240" s="17"/>
      <c r="H240" s="46"/>
      <c r="I240" s="17"/>
    </row>
    <row r="241" spans="1:9" x14ac:dyDescent="0.25">
      <c r="A241" s="46"/>
      <c r="B241" s="46"/>
      <c r="C241" s="46" t="str">
        <f>IFERROR(VLOOKUP(B241,likelihood!A:F,6,FALSE),"")</f>
        <v/>
      </c>
      <c r="D241" s="46" t="str">
        <f>IFERROR(VLOOKUP(B241,Impact_Assessment!A:L,6,FALSE),"")</f>
        <v/>
      </c>
      <c r="E241" s="46" t="str">
        <f t="shared" si="8"/>
        <v/>
      </c>
      <c r="F241" s="18" t="str">
        <f t="shared" si="9"/>
        <v/>
      </c>
      <c r="G241" s="17"/>
      <c r="H241" s="46"/>
      <c r="I241" s="17"/>
    </row>
    <row r="242" spans="1:9" x14ac:dyDescent="0.25">
      <c r="A242" s="46"/>
      <c r="B242" s="46"/>
      <c r="C242" s="46" t="str">
        <f>IFERROR(VLOOKUP(B242,likelihood!A:F,6,FALSE),"")</f>
        <v/>
      </c>
      <c r="D242" s="46" t="str">
        <f>IFERROR(VLOOKUP(B242,Impact_Assessment!A:L,6,FALSE),"")</f>
        <v/>
      </c>
      <c r="E242" s="46" t="str">
        <f t="shared" si="8"/>
        <v/>
      </c>
      <c r="F242" s="18" t="str">
        <f t="shared" si="9"/>
        <v/>
      </c>
      <c r="G242" s="17"/>
      <c r="H242" s="46"/>
      <c r="I242" s="17"/>
    </row>
    <row r="243" spans="1:9" x14ac:dyDescent="0.25">
      <c r="A243" s="46"/>
      <c r="B243" s="46"/>
      <c r="C243" s="46" t="str">
        <f>IFERROR(VLOOKUP(B243,likelihood!A:F,6,FALSE),"")</f>
        <v/>
      </c>
      <c r="D243" s="46" t="str">
        <f>IFERROR(VLOOKUP(B243,Impact_Assessment!A:L,6,FALSE),"")</f>
        <v/>
      </c>
      <c r="E243" s="46" t="str">
        <f t="shared" si="8"/>
        <v/>
      </c>
      <c r="F243" s="18" t="str">
        <f t="shared" si="9"/>
        <v/>
      </c>
      <c r="G243" s="17"/>
      <c r="H243" s="46"/>
      <c r="I243" s="17"/>
    </row>
    <row r="244" spans="1:9" x14ac:dyDescent="0.25">
      <c r="A244" s="46"/>
      <c r="B244" s="46"/>
      <c r="C244" s="46" t="str">
        <f>IFERROR(VLOOKUP(B244,likelihood!A:F,6,FALSE),"")</f>
        <v/>
      </c>
      <c r="D244" s="46" t="str">
        <f>IFERROR(VLOOKUP(B244,Impact_Assessment!A:L,6,FALSE),"")</f>
        <v/>
      </c>
      <c r="E244" s="46" t="str">
        <f t="shared" si="8"/>
        <v/>
      </c>
      <c r="F244" s="18" t="str">
        <f t="shared" si="9"/>
        <v/>
      </c>
      <c r="G244" s="17"/>
      <c r="H244" s="46"/>
      <c r="I244" s="17"/>
    </row>
    <row r="245" spans="1:9" x14ac:dyDescent="0.25">
      <c r="A245" s="46"/>
      <c r="B245" s="46"/>
      <c r="C245" s="46" t="str">
        <f>IFERROR(VLOOKUP(B245,likelihood!A:F,6,FALSE),"")</f>
        <v/>
      </c>
      <c r="D245" s="46" t="str">
        <f>IFERROR(VLOOKUP(B245,Impact_Assessment!A:L,6,FALSE),"")</f>
        <v/>
      </c>
      <c r="E245" s="46" t="str">
        <f t="shared" si="8"/>
        <v/>
      </c>
      <c r="F245" s="18" t="str">
        <f t="shared" si="9"/>
        <v/>
      </c>
      <c r="G245" s="17"/>
      <c r="H245" s="46"/>
      <c r="I245" s="17"/>
    </row>
    <row r="246" spans="1:9" x14ac:dyDescent="0.25">
      <c r="A246" s="46"/>
      <c r="B246" s="46"/>
      <c r="C246" s="46" t="str">
        <f>IFERROR(VLOOKUP(B246,likelihood!A:F,6,FALSE),"")</f>
        <v/>
      </c>
      <c r="D246" s="46" t="str">
        <f>IFERROR(VLOOKUP(B246,Impact_Assessment!A:L,6,FALSE),"")</f>
        <v/>
      </c>
      <c r="E246" s="46" t="str">
        <f t="shared" si="8"/>
        <v/>
      </c>
      <c r="F246" s="18" t="str">
        <f t="shared" si="9"/>
        <v/>
      </c>
      <c r="G246" s="17"/>
      <c r="H246" s="46"/>
      <c r="I246" s="17"/>
    </row>
    <row r="247" spans="1:9" x14ac:dyDescent="0.25">
      <c r="A247" s="46"/>
      <c r="B247" s="46"/>
      <c r="C247" s="46" t="str">
        <f>IFERROR(VLOOKUP(B247,likelihood!A:F,6,FALSE),"")</f>
        <v/>
      </c>
      <c r="D247" s="46" t="str">
        <f>IFERROR(VLOOKUP(B247,Impact_Assessment!A:L,6,FALSE),"")</f>
        <v/>
      </c>
      <c r="E247" s="46" t="str">
        <f t="shared" si="8"/>
        <v/>
      </c>
      <c r="F247" s="18" t="str">
        <f t="shared" si="9"/>
        <v/>
      </c>
      <c r="G247" s="17"/>
      <c r="H247" s="46"/>
      <c r="I247" s="17"/>
    </row>
    <row r="248" spans="1:9" x14ac:dyDescent="0.25">
      <c r="A248" s="46"/>
      <c r="B248" s="46"/>
      <c r="C248" s="46" t="str">
        <f>IFERROR(VLOOKUP(B248,likelihood!A:F,6,FALSE),"")</f>
        <v/>
      </c>
      <c r="D248" s="46" t="str">
        <f>IFERROR(VLOOKUP(B248,Impact_Assessment!A:L,6,FALSE),"")</f>
        <v/>
      </c>
      <c r="E248" s="46" t="str">
        <f t="shared" si="8"/>
        <v/>
      </c>
      <c r="F248" s="18" t="str">
        <f t="shared" si="9"/>
        <v/>
      </c>
      <c r="G248" s="17"/>
      <c r="H248" s="46"/>
      <c r="I248" s="17"/>
    </row>
    <row r="249" spans="1:9" x14ac:dyDescent="0.25">
      <c r="A249" s="46"/>
      <c r="B249" s="46"/>
      <c r="C249" s="46" t="str">
        <f>IFERROR(VLOOKUP(B249,likelihood!A:F,6,FALSE),"")</f>
        <v/>
      </c>
      <c r="D249" s="46" t="str">
        <f>IFERROR(VLOOKUP(B249,Impact_Assessment!A:L,6,FALSE),"")</f>
        <v/>
      </c>
      <c r="E249" s="46" t="str">
        <f t="shared" si="8"/>
        <v/>
      </c>
      <c r="F249" s="18" t="str">
        <f t="shared" si="9"/>
        <v/>
      </c>
      <c r="G249" s="17"/>
      <c r="H249" s="46"/>
      <c r="I249" s="17"/>
    </row>
    <row r="250" spans="1:9" x14ac:dyDescent="0.25">
      <c r="A250" s="46"/>
      <c r="B250" s="46"/>
      <c r="C250" s="46" t="str">
        <f>IFERROR(VLOOKUP(B250,likelihood!A:F,6,FALSE),"")</f>
        <v/>
      </c>
      <c r="D250" s="46" t="str">
        <f>IFERROR(VLOOKUP(B250,Impact_Assessment!A:L,6,FALSE),"")</f>
        <v/>
      </c>
      <c r="E250" s="46" t="str">
        <f t="shared" si="8"/>
        <v/>
      </c>
      <c r="F250" s="18" t="str">
        <f t="shared" si="9"/>
        <v/>
      </c>
      <c r="G250" s="17"/>
      <c r="H250" s="46"/>
      <c r="I250" s="17"/>
    </row>
    <row r="251" spans="1:9" x14ac:dyDescent="0.25">
      <c r="A251" s="46"/>
      <c r="B251" s="46"/>
      <c r="C251" s="46" t="str">
        <f>IFERROR(VLOOKUP(B251,likelihood!A:F,6,FALSE),"")</f>
        <v/>
      </c>
      <c r="D251" s="46" t="str">
        <f>IFERROR(VLOOKUP(B251,Impact_Assessment!A:L,6,FALSE),"")</f>
        <v/>
      </c>
      <c r="E251" s="46" t="str">
        <f t="shared" si="8"/>
        <v/>
      </c>
      <c r="F251" s="18" t="str">
        <f t="shared" si="9"/>
        <v/>
      </c>
      <c r="G251" s="17"/>
      <c r="H251" s="46"/>
      <c r="I251" s="17"/>
    </row>
    <row r="252" spans="1:9" x14ac:dyDescent="0.25">
      <c r="A252" s="46"/>
      <c r="B252" s="46"/>
      <c r="C252" s="46" t="str">
        <f>IFERROR(VLOOKUP(B252,likelihood!A:F,6,FALSE),"")</f>
        <v/>
      </c>
      <c r="D252" s="46" t="str">
        <f>IFERROR(VLOOKUP(B252,Impact_Assessment!A:L,6,FALSE),"")</f>
        <v/>
      </c>
      <c r="E252" s="46" t="str">
        <f t="shared" si="8"/>
        <v/>
      </c>
      <c r="F252" s="18" t="str">
        <f t="shared" si="9"/>
        <v/>
      </c>
      <c r="G252" s="17"/>
      <c r="H252" s="46"/>
      <c r="I252" s="17"/>
    </row>
    <row r="253" spans="1:9" x14ac:dyDescent="0.25">
      <c r="A253" s="46"/>
      <c r="B253" s="46"/>
      <c r="C253" s="46" t="str">
        <f>IFERROR(VLOOKUP(B253,likelihood!A:F,6,FALSE),"")</f>
        <v/>
      </c>
      <c r="D253" s="46" t="str">
        <f>IFERROR(VLOOKUP(B253,Impact_Assessment!A:L,6,FALSE),"")</f>
        <v/>
      </c>
      <c r="E253" s="46" t="str">
        <f t="shared" si="8"/>
        <v/>
      </c>
      <c r="F253" s="18" t="str">
        <f t="shared" si="9"/>
        <v/>
      </c>
      <c r="G253" s="17"/>
      <c r="H253" s="46"/>
      <c r="I253" s="17"/>
    </row>
    <row r="254" spans="1:9" x14ac:dyDescent="0.25">
      <c r="A254" s="46"/>
      <c r="B254" s="46"/>
      <c r="C254" s="46" t="str">
        <f>IFERROR(VLOOKUP(B254,likelihood!A:F,6,FALSE),"")</f>
        <v/>
      </c>
      <c r="D254" s="46" t="str">
        <f>IFERROR(VLOOKUP(B254,Impact_Assessment!A:L,6,FALSE),"")</f>
        <v/>
      </c>
      <c r="E254" s="46" t="str">
        <f t="shared" si="8"/>
        <v/>
      </c>
      <c r="F254" s="18" t="str">
        <f t="shared" si="9"/>
        <v/>
      </c>
      <c r="G254" s="17"/>
      <c r="H254" s="46"/>
      <c r="I254" s="17"/>
    </row>
    <row r="255" spans="1:9" x14ac:dyDescent="0.25">
      <c r="A255" s="46"/>
      <c r="B255" s="46"/>
      <c r="C255" s="46" t="str">
        <f>IFERROR(VLOOKUP(B255,likelihood!A:F,6,FALSE),"")</f>
        <v/>
      </c>
      <c r="D255" s="46" t="str">
        <f>IFERROR(VLOOKUP(B255,Impact_Assessment!A:L,6,FALSE),"")</f>
        <v/>
      </c>
      <c r="E255" s="46" t="str">
        <f t="shared" si="8"/>
        <v/>
      </c>
      <c r="F255" s="18" t="str">
        <f t="shared" si="9"/>
        <v/>
      </c>
      <c r="G255" s="17"/>
      <c r="H255" s="46"/>
      <c r="I255" s="17"/>
    </row>
    <row r="256" spans="1:9" x14ac:dyDescent="0.25">
      <c r="A256" s="46"/>
      <c r="B256" s="46"/>
      <c r="C256" s="46" t="str">
        <f>IFERROR(VLOOKUP(B256,likelihood!A:F,6,FALSE),"")</f>
        <v/>
      </c>
      <c r="D256" s="46" t="str">
        <f>IFERROR(VLOOKUP(B256,Impact_Assessment!A:L,6,FALSE),"")</f>
        <v/>
      </c>
      <c r="E256" s="46" t="str">
        <f t="shared" si="8"/>
        <v/>
      </c>
      <c r="F256" s="18" t="str">
        <f t="shared" si="9"/>
        <v/>
      </c>
      <c r="G256" s="17"/>
      <c r="H256" s="46"/>
      <c r="I256" s="17"/>
    </row>
    <row r="257" spans="1:9" x14ac:dyDescent="0.25">
      <c r="A257" s="46"/>
      <c r="B257" s="46"/>
      <c r="C257" s="46" t="str">
        <f>IFERROR(VLOOKUP(B257,likelihood!A:F,6,FALSE),"")</f>
        <v/>
      </c>
      <c r="D257" s="46" t="str">
        <f>IFERROR(VLOOKUP(B257,Impact_Assessment!A:L,6,FALSE),"")</f>
        <v/>
      </c>
      <c r="E257" s="46" t="str">
        <f t="shared" si="8"/>
        <v/>
      </c>
      <c r="F257" s="18" t="str">
        <f t="shared" si="9"/>
        <v/>
      </c>
      <c r="G257" s="17"/>
      <c r="H257" s="46"/>
      <c r="I257" s="17"/>
    </row>
    <row r="258" spans="1:9" x14ac:dyDescent="0.25">
      <c r="A258" s="46"/>
      <c r="B258" s="46"/>
      <c r="C258" s="46" t="str">
        <f>IFERROR(VLOOKUP(B258,likelihood!A:F,6,FALSE),"")</f>
        <v/>
      </c>
      <c r="D258" s="46" t="str">
        <f>IFERROR(VLOOKUP(B258,Impact_Assessment!A:L,6,FALSE),"")</f>
        <v/>
      </c>
      <c r="E258" s="46" t="str">
        <f t="shared" ref="E258:E321" si="10">IF(C258&lt;&gt;"",C258*D258,"")</f>
        <v/>
      </c>
      <c r="F258" s="18" t="str">
        <f t="shared" si="9"/>
        <v/>
      </c>
      <c r="G258" s="17"/>
      <c r="H258" s="46"/>
      <c r="I258" s="17"/>
    </row>
    <row r="259" spans="1:9" x14ac:dyDescent="0.25">
      <c r="A259" s="46"/>
      <c r="B259" s="46"/>
      <c r="C259" s="46" t="str">
        <f>IFERROR(VLOOKUP(B259,likelihood!A:F,6,FALSE),"")</f>
        <v/>
      </c>
      <c r="D259" s="46" t="str">
        <f>IFERROR(VLOOKUP(B259,Impact_Assessment!A:L,6,FALSE),"")</f>
        <v/>
      </c>
      <c r="E259" s="46" t="str">
        <f t="shared" si="10"/>
        <v/>
      </c>
      <c r="F259" s="18" t="str">
        <f t="shared" ref="F259:F322" si="11">IF(E259="","",
 IF(E259&lt;=5,"Low",IF(E259&lt;=10,"Medium",
 IF(E259&lt;=15,"High","Critical"))))</f>
        <v/>
      </c>
      <c r="G259" s="17"/>
      <c r="H259" s="46"/>
      <c r="I259" s="17"/>
    </row>
    <row r="260" spans="1:9" x14ac:dyDescent="0.25">
      <c r="A260" s="46"/>
      <c r="B260" s="46"/>
      <c r="C260" s="46" t="str">
        <f>IFERROR(VLOOKUP(B260,likelihood!A:F,6,FALSE),"")</f>
        <v/>
      </c>
      <c r="D260" s="46" t="str">
        <f>IFERROR(VLOOKUP(B260,Impact_Assessment!A:L,6,FALSE),"")</f>
        <v/>
      </c>
      <c r="E260" s="46" t="str">
        <f t="shared" si="10"/>
        <v/>
      </c>
      <c r="F260" s="18" t="str">
        <f t="shared" si="11"/>
        <v/>
      </c>
      <c r="G260" s="17"/>
      <c r="H260" s="46"/>
      <c r="I260" s="17"/>
    </row>
    <row r="261" spans="1:9" x14ac:dyDescent="0.25">
      <c r="A261" s="46"/>
      <c r="B261" s="46"/>
      <c r="C261" s="46" t="str">
        <f>IFERROR(VLOOKUP(B261,likelihood!A:F,6,FALSE),"")</f>
        <v/>
      </c>
      <c r="D261" s="46" t="str">
        <f>IFERROR(VLOOKUP(B261,Impact_Assessment!A:L,6,FALSE),"")</f>
        <v/>
      </c>
      <c r="E261" s="46" t="str">
        <f t="shared" si="10"/>
        <v/>
      </c>
      <c r="F261" s="18" t="str">
        <f t="shared" si="11"/>
        <v/>
      </c>
      <c r="G261" s="17"/>
      <c r="H261" s="46"/>
      <c r="I261" s="17"/>
    </row>
    <row r="262" spans="1:9" x14ac:dyDescent="0.25">
      <c r="A262" s="46"/>
      <c r="B262" s="46"/>
      <c r="C262" s="46" t="str">
        <f>IFERROR(VLOOKUP(B262,likelihood!A:F,6,FALSE),"")</f>
        <v/>
      </c>
      <c r="D262" s="46" t="str">
        <f>IFERROR(VLOOKUP(B262,Impact_Assessment!A:L,6,FALSE),"")</f>
        <v/>
      </c>
      <c r="E262" s="46" t="str">
        <f t="shared" si="10"/>
        <v/>
      </c>
      <c r="F262" s="18" t="str">
        <f t="shared" si="11"/>
        <v/>
      </c>
      <c r="G262" s="17"/>
      <c r="H262" s="46"/>
      <c r="I262" s="17"/>
    </row>
    <row r="263" spans="1:9" x14ac:dyDescent="0.25">
      <c r="A263" s="46"/>
      <c r="B263" s="46"/>
      <c r="C263" s="46" t="str">
        <f>IFERROR(VLOOKUP(B263,likelihood!A:F,6,FALSE),"")</f>
        <v/>
      </c>
      <c r="D263" s="46" t="str">
        <f>IFERROR(VLOOKUP(B263,Impact_Assessment!A:L,6,FALSE),"")</f>
        <v/>
      </c>
      <c r="E263" s="46" t="str">
        <f t="shared" si="10"/>
        <v/>
      </c>
      <c r="F263" s="18" t="str">
        <f t="shared" si="11"/>
        <v/>
      </c>
      <c r="G263" s="17"/>
      <c r="H263" s="46"/>
      <c r="I263" s="17"/>
    </row>
    <row r="264" spans="1:9" x14ac:dyDescent="0.25">
      <c r="A264" s="46"/>
      <c r="B264" s="46"/>
      <c r="C264" s="46" t="str">
        <f>IFERROR(VLOOKUP(B264,likelihood!A:F,6,FALSE),"")</f>
        <v/>
      </c>
      <c r="D264" s="46" t="str">
        <f>IFERROR(VLOOKUP(B264,Impact_Assessment!A:L,6,FALSE),"")</f>
        <v/>
      </c>
      <c r="E264" s="46" t="str">
        <f t="shared" si="10"/>
        <v/>
      </c>
      <c r="F264" s="18" t="str">
        <f t="shared" si="11"/>
        <v/>
      </c>
      <c r="G264" s="17"/>
      <c r="H264" s="46"/>
      <c r="I264" s="17"/>
    </row>
    <row r="265" spans="1:9" x14ac:dyDescent="0.25">
      <c r="A265" s="46"/>
      <c r="B265" s="46"/>
      <c r="C265" s="46" t="str">
        <f>IFERROR(VLOOKUP(B265,likelihood!A:F,6,FALSE),"")</f>
        <v/>
      </c>
      <c r="D265" s="46" t="str">
        <f>IFERROR(VLOOKUP(B265,Impact_Assessment!A:L,6,FALSE),"")</f>
        <v/>
      </c>
      <c r="E265" s="46" t="str">
        <f t="shared" si="10"/>
        <v/>
      </c>
      <c r="F265" s="18" t="str">
        <f t="shared" si="11"/>
        <v/>
      </c>
      <c r="G265" s="17"/>
      <c r="H265" s="46"/>
      <c r="I265" s="17"/>
    </row>
    <row r="266" spans="1:9" x14ac:dyDescent="0.25">
      <c r="A266" s="46"/>
      <c r="B266" s="46"/>
      <c r="C266" s="46" t="str">
        <f>IFERROR(VLOOKUP(B266,likelihood!A:F,6,FALSE),"")</f>
        <v/>
      </c>
      <c r="D266" s="46" t="str">
        <f>IFERROR(VLOOKUP(B266,Impact_Assessment!A:L,6,FALSE),"")</f>
        <v/>
      </c>
      <c r="E266" s="46" t="str">
        <f t="shared" si="10"/>
        <v/>
      </c>
      <c r="F266" s="18" t="str">
        <f t="shared" si="11"/>
        <v/>
      </c>
      <c r="G266" s="17"/>
      <c r="H266" s="46"/>
      <c r="I266" s="17"/>
    </row>
    <row r="267" spans="1:9" x14ac:dyDescent="0.25">
      <c r="A267" s="46"/>
      <c r="B267" s="46"/>
      <c r="C267" s="46" t="str">
        <f>IFERROR(VLOOKUP(B267,likelihood!A:F,6,FALSE),"")</f>
        <v/>
      </c>
      <c r="D267" s="46" t="str">
        <f>IFERROR(VLOOKUP(B267,Impact_Assessment!A:L,6,FALSE),"")</f>
        <v/>
      </c>
      <c r="E267" s="46" t="str">
        <f t="shared" si="10"/>
        <v/>
      </c>
      <c r="F267" s="18" t="str">
        <f t="shared" si="11"/>
        <v/>
      </c>
      <c r="G267" s="17"/>
      <c r="H267" s="46"/>
      <c r="I267" s="17"/>
    </row>
    <row r="268" spans="1:9" x14ac:dyDescent="0.25">
      <c r="A268" s="46"/>
      <c r="B268" s="46"/>
      <c r="C268" s="46" t="str">
        <f>IFERROR(VLOOKUP(B268,likelihood!A:F,6,FALSE),"")</f>
        <v/>
      </c>
      <c r="D268" s="46" t="str">
        <f>IFERROR(VLOOKUP(B268,Impact_Assessment!A:L,6,FALSE),"")</f>
        <v/>
      </c>
      <c r="E268" s="46" t="str">
        <f t="shared" si="10"/>
        <v/>
      </c>
      <c r="F268" s="18" t="str">
        <f t="shared" si="11"/>
        <v/>
      </c>
      <c r="G268" s="17"/>
      <c r="H268" s="46"/>
      <c r="I268" s="17"/>
    </row>
    <row r="269" spans="1:9" x14ac:dyDescent="0.25">
      <c r="A269" s="46"/>
      <c r="B269" s="46"/>
      <c r="C269" s="46" t="str">
        <f>IFERROR(VLOOKUP(B269,likelihood!A:F,6,FALSE),"")</f>
        <v/>
      </c>
      <c r="D269" s="46" t="str">
        <f>IFERROR(VLOOKUP(B269,Impact_Assessment!A:L,6,FALSE),"")</f>
        <v/>
      </c>
      <c r="E269" s="46" t="str">
        <f t="shared" si="10"/>
        <v/>
      </c>
      <c r="F269" s="18" t="str">
        <f t="shared" si="11"/>
        <v/>
      </c>
      <c r="G269" s="17"/>
      <c r="H269" s="46"/>
      <c r="I269" s="17"/>
    </row>
    <row r="270" spans="1:9" x14ac:dyDescent="0.25">
      <c r="A270" s="46"/>
      <c r="B270" s="46"/>
      <c r="C270" s="46" t="str">
        <f>IFERROR(VLOOKUP(B270,likelihood!A:F,6,FALSE),"")</f>
        <v/>
      </c>
      <c r="D270" s="46" t="str">
        <f>IFERROR(VLOOKUP(B270,Impact_Assessment!A:L,6,FALSE),"")</f>
        <v/>
      </c>
      <c r="E270" s="46" t="str">
        <f t="shared" si="10"/>
        <v/>
      </c>
      <c r="F270" s="18" t="str">
        <f t="shared" si="11"/>
        <v/>
      </c>
      <c r="G270" s="17"/>
      <c r="H270" s="46"/>
      <c r="I270" s="17"/>
    </row>
    <row r="271" spans="1:9" x14ac:dyDescent="0.25">
      <c r="A271" s="46"/>
      <c r="B271" s="46"/>
      <c r="C271" s="46" t="str">
        <f>IFERROR(VLOOKUP(B271,likelihood!A:F,6,FALSE),"")</f>
        <v/>
      </c>
      <c r="D271" s="46" t="str">
        <f>IFERROR(VLOOKUP(B271,Impact_Assessment!A:L,6,FALSE),"")</f>
        <v/>
      </c>
      <c r="E271" s="46" t="str">
        <f t="shared" si="10"/>
        <v/>
      </c>
      <c r="F271" s="18" t="str">
        <f t="shared" si="11"/>
        <v/>
      </c>
      <c r="G271" s="17"/>
      <c r="H271" s="46"/>
      <c r="I271" s="17"/>
    </row>
    <row r="272" spans="1:9" x14ac:dyDescent="0.25">
      <c r="A272" s="46"/>
      <c r="B272" s="46"/>
      <c r="C272" s="46" t="str">
        <f>IFERROR(VLOOKUP(B272,likelihood!A:F,6,FALSE),"")</f>
        <v/>
      </c>
      <c r="D272" s="46" t="str">
        <f>IFERROR(VLOOKUP(B272,Impact_Assessment!A:L,6,FALSE),"")</f>
        <v/>
      </c>
      <c r="E272" s="46" t="str">
        <f t="shared" si="10"/>
        <v/>
      </c>
      <c r="F272" s="18" t="str">
        <f t="shared" si="11"/>
        <v/>
      </c>
      <c r="G272" s="17"/>
      <c r="H272" s="46"/>
      <c r="I272" s="17"/>
    </row>
    <row r="273" spans="1:9" x14ac:dyDescent="0.25">
      <c r="A273" s="46"/>
      <c r="B273" s="46"/>
      <c r="C273" s="46" t="str">
        <f>IFERROR(VLOOKUP(B273,likelihood!A:F,6,FALSE),"")</f>
        <v/>
      </c>
      <c r="D273" s="46" t="str">
        <f>IFERROR(VLOOKUP(B273,Impact_Assessment!A:L,6,FALSE),"")</f>
        <v/>
      </c>
      <c r="E273" s="46" t="str">
        <f t="shared" si="10"/>
        <v/>
      </c>
      <c r="F273" s="18" t="str">
        <f t="shared" si="11"/>
        <v/>
      </c>
      <c r="G273" s="17"/>
      <c r="H273" s="46"/>
      <c r="I273" s="17"/>
    </row>
    <row r="274" spans="1:9" x14ac:dyDescent="0.25">
      <c r="A274" s="46"/>
      <c r="B274" s="46"/>
      <c r="C274" s="46" t="str">
        <f>IFERROR(VLOOKUP(B274,likelihood!A:F,6,FALSE),"")</f>
        <v/>
      </c>
      <c r="D274" s="46" t="str">
        <f>IFERROR(VLOOKUP(B274,Impact_Assessment!A:L,6,FALSE),"")</f>
        <v/>
      </c>
      <c r="E274" s="46" t="str">
        <f t="shared" si="10"/>
        <v/>
      </c>
      <c r="F274" s="18" t="str">
        <f t="shared" si="11"/>
        <v/>
      </c>
      <c r="G274" s="17"/>
      <c r="H274" s="46"/>
      <c r="I274" s="17"/>
    </row>
    <row r="275" spans="1:9" x14ac:dyDescent="0.25">
      <c r="A275" s="46"/>
      <c r="B275" s="46"/>
      <c r="C275" s="46" t="str">
        <f>IFERROR(VLOOKUP(B275,likelihood!A:F,6,FALSE),"")</f>
        <v/>
      </c>
      <c r="D275" s="46" t="str">
        <f>IFERROR(VLOOKUP(B275,Impact_Assessment!A:L,6,FALSE),"")</f>
        <v/>
      </c>
      <c r="E275" s="46" t="str">
        <f t="shared" si="10"/>
        <v/>
      </c>
      <c r="F275" s="18" t="str">
        <f t="shared" si="11"/>
        <v/>
      </c>
      <c r="G275" s="17"/>
      <c r="H275" s="46"/>
      <c r="I275" s="17"/>
    </row>
    <row r="276" spans="1:9" x14ac:dyDescent="0.25">
      <c r="A276" s="46"/>
      <c r="B276" s="46"/>
      <c r="C276" s="46" t="str">
        <f>IFERROR(VLOOKUP(B276,likelihood!A:F,6,FALSE),"")</f>
        <v/>
      </c>
      <c r="D276" s="46" t="str">
        <f>IFERROR(VLOOKUP(B276,Impact_Assessment!A:L,6,FALSE),"")</f>
        <v/>
      </c>
      <c r="E276" s="46" t="str">
        <f t="shared" si="10"/>
        <v/>
      </c>
      <c r="F276" s="18" t="str">
        <f t="shared" si="11"/>
        <v/>
      </c>
      <c r="G276" s="17"/>
      <c r="H276" s="46"/>
      <c r="I276" s="17"/>
    </row>
    <row r="277" spans="1:9" x14ac:dyDescent="0.25">
      <c r="A277" s="46"/>
      <c r="B277" s="46"/>
      <c r="C277" s="46" t="str">
        <f>IFERROR(VLOOKUP(B277,likelihood!A:F,6,FALSE),"")</f>
        <v/>
      </c>
      <c r="D277" s="46" t="str">
        <f>IFERROR(VLOOKUP(B277,Impact_Assessment!A:L,6,FALSE),"")</f>
        <v/>
      </c>
      <c r="E277" s="46" t="str">
        <f t="shared" si="10"/>
        <v/>
      </c>
      <c r="F277" s="18" t="str">
        <f t="shared" si="11"/>
        <v/>
      </c>
      <c r="G277" s="17"/>
      <c r="H277" s="46"/>
      <c r="I277" s="17"/>
    </row>
    <row r="278" spans="1:9" x14ac:dyDescent="0.25">
      <c r="A278" s="46"/>
      <c r="B278" s="46"/>
      <c r="C278" s="46" t="str">
        <f>IFERROR(VLOOKUP(B278,likelihood!A:F,6,FALSE),"")</f>
        <v/>
      </c>
      <c r="D278" s="46" t="str">
        <f>IFERROR(VLOOKUP(B278,Impact_Assessment!A:L,6,FALSE),"")</f>
        <v/>
      </c>
      <c r="E278" s="46" t="str">
        <f t="shared" si="10"/>
        <v/>
      </c>
      <c r="F278" s="18" t="str">
        <f t="shared" si="11"/>
        <v/>
      </c>
      <c r="G278" s="17"/>
      <c r="H278" s="46"/>
      <c r="I278" s="17"/>
    </row>
    <row r="279" spans="1:9" x14ac:dyDescent="0.25">
      <c r="A279" s="46"/>
      <c r="B279" s="46"/>
      <c r="C279" s="46" t="str">
        <f>IFERROR(VLOOKUP(B279,likelihood!A:F,6,FALSE),"")</f>
        <v/>
      </c>
      <c r="D279" s="46" t="str">
        <f>IFERROR(VLOOKUP(B279,Impact_Assessment!A:L,6,FALSE),"")</f>
        <v/>
      </c>
      <c r="E279" s="46" t="str">
        <f t="shared" si="10"/>
        <v/>
      </c>
      <c r="F279" s="18" t="str">
        <f t="shared" si="11"/>
        <v/>
      </c>
      <c r="G279" s="17"/>
      <c r="H279" s="46"/>
      <c r="I279" s="17"/>
    </row>
    <row r="280" spans="1:9" x14ac:dyDescent="0.25">
      <c r="A280" s="46"/>
      <c r="B280" s="46"/>
      <c r="C280" s="46" t="str">
        <f>IFERROR(VLOOKUP(B280,likelihood!A:F,6,FALSE),"")</f>
        <v/>
      </c>
      <c r="D280" s="46" t="str">
        <f>IFERROR(VLOOKUP(B280,Impact_Assessment!A:L,6,FALSE),"")</f>
        <v/>
      </c>
      <c r="E280" s="46" t="str">
        <f t="shared" si="10"/>
        <v/>
      </c>
      <c r="F280" s="18" t="str">
        <f t="shared" si="11"/>
        <v/>
      </c>
      <c r="G280" s="17"/>
      <c r="H280" s="46"/>
      <c r="I280" s="17"/>
    </row>
    <row r="281" spans="1:9" x14ac:dyDescent="0.25">
      <c r="A281" s="46"/>
      <c r="B281" s="46"/>
      <c r="C281" s="46" t="str">
        <f>IFERROR(VLOOKUP(B281,likelihood!A:F,6,FALSE),"")</f>
        <v/>
      </c>
      <c r="D281" s="46" t="str">
        <f>IFERROR(VLOOKUP(B281,Impact_Assessment!A:L,6,FALSE),"")</f>
        <v/>
      </c>
      <c r="E281" s="46" t="str">
        <f t="shared" si="10"/>
        <v/>
      </c>
      <c r="F281" s="18" t="str">
        <f t="shared" si="11"/>
        <v/>
      </c>
      <c r="G281" s="17"/>
      <c r="H281" s="46"/>
      <c r="I281" s="17"/>
    </row>
    <row r="282" spans="1:9" x14ac:dyDescent="0.25">
      <c r="A282" s="46"/>
      <c r="B282" s="46"/>
      <c r="C282" s="46" t="str">
        <f>IFERROR(VLOOKUP(B282,likelihood!A:F,6,FALSE),"")</f>
        <v/>
      </c>
      <c r="D282" s="46" t="str">
        <f>IFERROR(VLOOKUP(B282,Impact_Assessment!A:L,6,FALSE),"")</f>
        <v/>
      </c>
      <c r="E282" s="46" t="str">
        <f t="shared" si="10"/>
        <v/>
      </c>
      <c r="F282" s="18" t="str">
        <f t="shared" si="11"/>
        <v/>
      </c>
      <c r="G282" s="17"/>
      <c r="H282" s="46"/>
      <c r="I282" s="17"/>
    </row>
    <row r="283" spans="1:9" x14ac:dyDescent="0.25">
      <c r="A283" s="46"/>
      <c r="B283" s="46"/>
      <c r="C283" s="46" t="str">
        <f>IFERROR(VLOOKUP(B283,likelihood!A:F,6,FALSE),"")</f>
        <v/>
      </c>
      <c r="D283" s="46" t="str">
        <f>IFERROR(VLOOKUP(B283,Impact_Assessment!A:L,6,FALSE),"")</f>
        <v/>
      </c>
      <c r="E283" s="46" t="str">
        <f t="shared" si="10"/>
        <v/>
      </c>
      <c r="F283" s="18" t="str">
        <f t="shared" si="11"/>
        <v/>
      </c>
      <c r="G283" s="17"/>
      <c r="H283" s="46"/>
      <c r="I283" s="17"/>
    </row>
    <row r="284" spans="1:9" x14ac:dyDescent="0.25">
      <c r="A284" s="46"/>
      <c r="B284" s="46"/>
      <c r="C284" s="46" t="str">
        <f>IFERROR(VLOOKUP(B284,likelihood!A:F,6,FALSE),"")</f>
        <v/>
      </c>
      <c r="D284" s="46" t="str">
        <f>IFERROR(VLOOKUP(B284,Impact_Assessment!A:L,6,FALSE),"")</f>
        <v/>
      </c>
      <c r="E284" s="46" t="str">
        <f t="shared" si="10"/>
        <v/>
      </c>
      <c r="F284" s="18" t="str">
        <f t="shared" si="11"/>
        <v/>
      </c>
      <c r="G284" s="17"/>
      <c r="H284" s="46"/>
      <c r="I284" s="17"/>
    </row>
    <row r="285" spans="1:9" x14ac:dyDescent="0.25">
      <c r="A285" s="46"/>
      <c r="B285" s="46"/>
      <c r="C285" s="46" t="str">
        <f>IFERROR(VLOOKUP(B285,likelihood!A:F,6,FALSE),"")</f>
        <v/>
      </c>
      <c r="D285" s="46" t="str">
        <f>IFERROR(VLOOKUP(B285,Impact_Assessment!A:L,6,FALSE),"")</f>
        <v/>
      </c>
      <c r="E285" s="46" t="str">
        <f t="shared" si="10"/>
        <v/>
      </c>
      <c r="F285" s="18" t="str">
        <f t="shared" si="11"/>
        <v/>
      </c>
      <c r="G285" s="17"/>
      <c r="H285" s="46"/>
      <c r="I285" s="17"/>
    </row>
    <row r="286" spans="1:9" x14ac:dyDescent="0.25">
      <c r="A286" s="46"/>
      <c r="B286" s="46"/>
      <c r="C286" s="46" t="str">
        <f>IFERROR(VLOOKUP(B286,likelihood!A:F,6,FALSE),"")</f>
        <v/>
      </c>
      <c r="D286" s="46" t="str">
        <f>IFERROR(VLOOKUP(B286,Impact_Assessment!A:L,6,FALSE),"")</f>
        <v/>
      </c>
      <c r="E286" s="46" t="str">
        <f t="shared" si="10"/>
        <v/>
      </c>
      <c r="F286" s="18" t="str">
        <f t="shared" si="11"/>
        <v/>
      </c>
      <c r="G286" s="17"/>
      <c r="H286" s="46"/>
      <c r="I286" s="17"/>
    </row>
    <row r="287" spans="1:9" x14ac:dyDescent="0.25">
      <c r="A287" s="46"/>
      <c r="B287" s="46"/>
      <c r="C287" s="46" t="str">
        <f>IFERROR(VLOOKUP(B287,likelihood!A:F,6,FALSE),"")</f>
        <v/>
      </c>
      <c r="D287" s="46" t="str">
        <f>IFERROR(VLOOKUP(B287,Impact_Assessment!A:L,6,FALSE),"")</f>
        <v/>
      </c>
      <c r="E287" s="46" t="str">
        <f t="shared" si="10"/>
        <v/>
      </c>
      <c r="F287" s="18" t="str">
        <f t="shared" si="11"/>
        <v/>
      </c>
      <c r="G287" s="17"/>
      <c r="H287" s="46"/>
      <c r="I287" s="17"/>
    </row>
    <row r="288" spans="1:9" x14ac:dyDescent="0.25">
      <c r="A288" s="46"/>
      <c r="B288" s="46"/>
      <c r="C288" s="46" t="str">
        <f>IFERROR(VLOOKUP(B288,likelihood!A:F,6,FALSE),"")</f>
        <v/>
      </c>
      <c r="D288" s="46" t="str">
        <f>IFERROR(VLOOKUP(B288,Impact_Assessment!A:L,6,FALSE),"")</f>
        <v/>
      </c>
      <c r="E288" s="46" t="str">
        <f t="shared" si="10"/>
        <v/>
      </c>
      <c r="F288" s="18" t="str">
        <f t="shared" si="11"/>
        <v/>
      </c>
      <c r="G288" s="17"/>
      <c r="H288" s="46"/>
      <c r="I288" s="17"/>
    </row>
    <row r="289" spans="1:9" x14ac:dyDescent="0.25">
      <c r="A289" s="46"/>
      <c r="B289" s="46"/>
      <c r="C289" s="46" t="str">
        <f>IFERROR(VLOOKUP(B289,likelihood!A:F,6,FALSE),"")</f>
        <v/>
      </c>
      <c r="D289" s="46" t="str">
        <f>IFERROR(VLOOKUP(B289,Impact_Assessment!A:L,6,FALSE),"")</f>
        <v/>
      </c>
      <c r="E289" s="46" t="str">
        <f t="shared" si="10"/>
        <v/>
      </c>
      <c r="F289" s="18" t="str">
        <f t="shared" si="11"/>
        <v/>
      </c>
      <c r="G289" s="17"/>
      <c r="H289" s="46"/>
      <c r="I289" s="17"/>
    </row>
    <row r="290" spans="1:9" x14ac:dyDescent="0.25">
      <c r="A290" s="46"/>
      <c r="B290" s="46"/>
      <c r="C290" s="46" t="str">
        <f>IFERROR(VLOOKUP(B290,likelihood!A:F,6,FALSE),"")</f>
        <v/>
      </c>
      <c r="D290" s="46" t="str">
        <f>IFERROR(VLOOKUP(B290,Impact_Assessment!A:L,6,FALSE),"")</f>
        <v/>
      </c>
      <c r="E290" s="46" t="str">
        <f t="shared" si="10"/>
        <v/>
      </c>
      <c r="F290" s="18" t="str">
        <f t="shared" si="11"/>
        <v/>
      </c>
      <c r="G290" s="17"/>
      <c r="H290" s="46"/>
      <c r="I290" s="17"/>
    </row>
    <row r="291" spans="1:9" x14ac:dyDescent="0.25">
      <c r="A291" s="46"/>
      <c r="B291" s="46"/>
      <c r="C291" s="46" t="str">
        <f>IFERROR(VLOOKUP(B291,likelihood!A:F,6,FALSE),"")</f>
        <v/>
      </c>
      <c r="D291" s="46" t="str">
        <f>IFERROR(VLOOKUP(B291,Impact_Assessment!A:L,6,FALSE),"")</f>
        <v/>
      </c>
      <c r="E291" s="46" t="str">
        <f t="shared" si="10"/>
        <v/>
      </c>
      <c r="F291" s="18" t="str">
        <f t="shared" si="11"/>
        <v/>
      </c>
      <c r="G291" s="17"/>
      <c r="H291" s="46"/>
      <c r="I291" s="17"/>
    </row>
    <row r="292" spans="1:9" x14ac:dyDescent="0.25">
      <c r="A292" s="46"/>
      <c r="B292" s="46"/>
      <c r="C292" s="46" t="str">
        <f>IFERROR(VLOOKUP(B292,likelihood!A:F,6,FALSE),"")</f>
        <v/>
      </c>
      <c r="D292" s="46" t="str">
        <f>IFERROR(VLOOKUP(B292,Impact_Assessment!A:L,6,FALSE),"")</f>
        <v/>
      </c>
      <c r="E292" s="46" t="str">
        <f t="shared" si="10"/>
        <v/>
      </c>
      <c r="F292" s="18" t="str">
        <f t="shared" si="11"/>
        <v/>
      </c>
      <c r="G292" s="17"/>
      <c r="H292" s="46"/>
      <c r="I292" s="17"/>
    </row>
    <row r="293" spans="1:9" x14ac:dyDescent="0.25">
      <c r="A293" s="46"/>
      <c r="B293" s="46"/>
      <c r="C293" s="46" t="str">
        <f>IFERROR(VLOOKUP(B293,likelihood!A:F,6,FALSE),"")</f>
        <v/>
      </c>
      <c r="D293" s="46" t="str">
        <f>IFERROR(VLOOKUP(B293,Impact_Assessment!A:L,6,FALSE),"")</f>
        <v/>
      </c>
      <c r="E293" s="46" t="str">
        <f t="shared" si="10"/>
        <v/>
      </c>
      <c r="F293" s="18" t="str">
        <f t="shared" si="11"/>
        <v/>
      </c>
      <c r="G293" s="17"/>
      <c r="H293" s="46"/>
      <c r="I293" s="17"/>
    </row>
    <row r="294" spans="1:9" x14ac:dyDescent="0.25">
      <c r="A294" s="46"/>
      <c r="B294" s="46"/>
      <c r="C294" s="46" t="str">
        <f>IFERROR(VLOOKUP(B294,likelihood!A:F,6,FALSE),"")</f>
        <v/>
      </c>
      <c r="D294" s="46" t="str">
        <f>IFERROR(VLOOKUP(B294,Impact_Assessment!A:L,6,FALSE),"")</f>
        <v/>
      </c>
      <c r="E294" s="46" t="str">
        <f t="shared" si="10"/>
        <v/>
      </c>
      <c r="F294" s="18" t="str">
        <f t="shared" si="11"/>
        <v/>
      </c>
      <c r="G294" s="17"/>
      <c r="H294" s="46"/>
      <c r="I294" s="17"/>
    </row>
    <row r="295" spans="1:9" x14ac:dyDescent="0.25">
      <c r="A295" s="46"/>
      <c r="B295" s="46"/>
      <c r="C295" s="46" t="str">
        <f>IFERROR(VLOOKUP(B295,likelihood!A:F,6,FALSE),"")</f>
        <v/>
      </c>
      <c r="D295" s="46" t="str">
        <f>IFERROR(VLOOKUP(B295,Impact_Assessment!A:L,6,FALSE),"")</f>
        <v/>
      </c>
      <c r="E295" s="46" t="str">
        <f t="shared" si="10"/>
        <v/>
      </c>
      <c r="F295" s="18" t="str">
        <f t="shared" si="11"/>
        <v/>
      </c>
      <c r="G295" s="17"/>
      <c r="H295" s="46"/>
      <c r="I295" s="17"/>
    </row>
    <row r="296" spans="1:9" x14ac:dyDescent="0.25">
      <c r="A296" s="46"/>
      <c r="B296" s="46"/>
      <c r="C296" s="46" t="str">
        <f>IFERROR(VLOOKUP(B296,likelihood!A:F,6,FALSE),"")</f>
        <v/>
      </c>
      <c r="D296" s="46" t="str">
        <f>IFERROR(VLOOKUP(B296,Impact_Assessment!A:L,6,FALSE),"")</f>
        <v/>
      </c>
      <c r="E296" s="46" t="str">
        <f t="shared" si="10"/>
        <v/>
      </c>
      <c r="F296" s="18" t="str">
        <f t="shared" si="11"/>
        <v/>
      </c>
      <c r="G296" s="17"/>
      <c r="H296" s="46"/>
      <c r="I296" s="17"/>
    </row>
    <row r="297" spans="1:9" x14ac:dyDescent="0.25">
      <c r="A297" s="46"/>
      <c r="B297" s="46"/>
      <c r="C297" s="46" t="str">
        <f>IFERROR(VLOOKUP(B297,likelihood!A:F,6,FALSE),"")</f>
        <v/>
      </c>
      <c r="D297" s="46" t="str">
        <f>IFERROR(VLOOKUP(B297,Impact_Assessment!A:L,6,FALSE),"")</f>
        <v/>
      </c>
      <c r="E297" s="46" t="str">
        <f t="shared" si="10"/>
        <v/>
      </c>
      <c r="F297" s="18" t="str">
        <f t="shared" si="11"/>
        <v/>
      </c>
      <c r="G297" s="17"/>
      <c r="H297" s="46"/>
      <c r="I297" s="17"/>
    </row>
    <row r="298" spans="1:9" x14ac:dyDescent="0.25">
      <c r="A298" s="46"/>
      <c r="B298" s="46"/>
      <c r="C298" s="46" t="str">
        <f>IFERROR(VLOOKUP(B298,likelihood!A:F,6,FALSE),"")</f>
        <v/>
      </c>
      <c r="D298" s="46" t="str">
        <f>IFERROR(VLOOKUP(B298,Impact_Assessment!A:L,6,FALSE),"")</f>
        <v/>
      </c>
      <c r="E298" s="46" t="str">
        <f t="shared" si="10"/>
        <v/>
      </c>
      <c r="F298" s="18" t="str">
        <f t="shared" si="11"/>
        <v/>
      </c>
      <c r="G298" s="17"/>
      <c r="H298" s="46"/>
      <c r="I298" s="17"/>
    </row>
    <row r="299" spans="1:9" x14ac:dyDescent="0.25">
      <c r="A299" s="46"/>
      <c r="B299" s="46"/>
      <c r="C299" s="46" t="str">
        <f>IFERROR(VLOOKUP(B299,likelihood!A:F,6,FALSE),"")</f>
        <v/>
      </c>
      <c r="D299" s="46" t="str">
        <f>IFERROR(VLOOKUP(B299,Impact_Assessment!A:L,6,FALSE),"")</f>
        <v/>
      </c>
      <c r="E299" s="46" t="str">
        <f t="shared" si="10"/>
        <v/>
      </c>
      <c r="F299" s="18" t="str">
        <f t="shared" si="11"/>
        <v/>
      </c>
      <c r="G299" s="17"/>
      <c r="H299" s="46"/>
      <c r="I299" s="17"/>
    </row>
    <row r="300" spans="1:9" x14ac:dyDescent="0.25">
      <c r="A300" s="46"/>
      <c r="B300" s="46"/>
      <c r="C300" s="46" t="str">
        <f>IFERROR(VLOOKUP(B300,likelihood!A:F,6,FALSE),"")</f>
        <v/>
      </c>
      <c r="D300" s="46" t="str">
        <f>IFERROR(VLOOKUP(B300,Impact_Assessment!A:L,6,FALSE),"")</f>
        <v/>
      </c>
      <c r="E300" s="46" t="str">
        <f t="shared" si="10"/>
        <v/>
      </c>
      <c r="F300" s="18" t="str">
        <f t="shared" si="11"/>
        <v/>
      </c>
      <c r="G300" s="17"/>
      <c r="H300" s="46"/>
      <c r="I300" s="17"/>
    </row>
    <row r="301" spans="1:9" x14ac:dyDescent="0.25">
      <c r="A301" s="46"/>
      <c r="B301" s="46"/>
      <c r="C301" s="46" t="str">
        <f>IFERROR(VLOOKUP(B301,likelihood!A:F,6,FALSE),"")</f>
        <v/>
      </c>
      <c r="D301" s="46" t="str">
        <f>IFERROR(VLOOKUP(B301,Impact_Assessment!A:L,6,FALSE),"")</f>
        <v/>
      </c>
      <c r="E301" s="46" t="str">
        <f t="shared" si="10"/>
        <v/>
      </c>
      <c r="F301" s="18" t="str">
        <f t="shared" si="11"/>
        <v/>
      </c>
      <c r="G301" s="17"/>
      <c r="H301" s="46"/>
      <c r="I301" s="17"/>
    </row>
    <row r="302" spans="1:9" x14ac:dyDescent="0.25">
      <c r="A302" s="46"/>
      <c r="B302" s="46"/>
      <c r="C302" s="46" t="str">
        <f>IFERROR(VLOOKUP(B302,likelihood!A:F,6,FALSE),"")</f>
        <v/>
      </c>
      <c r="D302" s="46" t="str">
        <f>IFERROR(VLOOKUP(B302,Impact_Assessment!A:L,6,FALSE),"")</f>
        <v/>
      </c>
      <c r="E302" s="46" t="str">
        <f t="shared" si="10"/>
        <v/>
      </c>
      <c r="F302" s="18" t="str">
        <f t="shared" si="11"/>
        <v/>
      </c>
      <c r="G302" s="17"/>
      <c r="H302" s="46"/>
      <c r="I302" s="17"/>
    </row>
    <row r="303" spans="1:9" x14ac:dyDescent="0.25">
      <c r="A303" s="46"/>
      <c r="B303" s="46"/>
      <c r="C303" s="46" t="str">
        <f>IFERROR(VLOOKUP(B303,likelihood!A:F,6,FALSE),"")</f>
        <v/>
      </c>
      <c r="D303" s="46" t="str">
        <f>IFERROR(VLOOKUP(B303,Impact_Assessment!A:L,6,FALSE),"")</f>
        <v/>
      </c>
      <c r="E303" s="46" t="str">
        <f t="shared" si="10"/>
        <v/>
      </c>
      <c r="F303" s="18" t="str">
        <f t="shared" si="11"/>
        <v/>
      </c>
      <c r="G303" s="17"/>
      <c r="H303" s="46"/>
      <c r="I303" s="17"/>
    </row>
    <row r="304" spans="1:9" x14ac:dyDescent="0.25">
      <c r="A304" s="46"/>
      <c r="B304" s="46"/>
      <c r="C304" s="46" t="str">
        <f>IFERROR(VLOOKUP(B304,likelihood!A:F,6,FALSE),"")</f>
        <v/>
      </c>
      <c r="D304" s="46" t="str">
        <f>IFERROR(VLOOKUP(B304,Impact_Assessment!A:L,6,FALSE),"")</f>
        <v/>
      </c>
      <c r="E304" s="46" t="str">
        <f t="shared" si="10"/>
        <v/>
      </c>
      <c r="F304" s="18" t="str">
        <f t="shared" si="11"/>
        <v/>
      </c>
      <c r="G304" s="17"/>
      <c r="H304" s="46"/>
      <c r="I304" s="17"/>
    </row>
    <row r="305" spans="1:9" x14ac:dyDescent="0.25">
      <c r="A305" s="46"/>
      <c r="B305" s="46"/>
      <c r="C305" s="46" t="str">
        <f>IFERROR(VLOOKUP(B305,likelihood!A:F,6,FALSE),"")</f>
        <v/>
      </c>
      <c r="D305" s="46" t="str">
        <f>IFERROR(VLOOKUP(B305,Impact_Assessment!A:L,6,FALSE),"")</f>
        <v/>
      </c>
      <c r="E305" s="46" t="str">
        <f t="shared" si="10"/>
        <v/>
      </c>
      <c r="F305" s="18" t="str">
        <f t="shared" si="11"/>
        <v/>
      </c>
      <c r="G305" s="17"/>
      <c r="H305" s="46"/>
      <c r="I305" s="17"/>
    </row>
    <row r="306" spans="1:9" x14ac:dyDescent="0.25">
      <c r="A306" s="46"/>
      <c r="B306" s="46"/>
      <c r="C306" s="46" t="str">
        <f>IFERROR(VLOOKUP(B306,likelihood!A:F,6,FALSE),"")</f>
        <v/>
      </c>
      <c r="D306" s="46" t="str">
        <f>IFERROR(VLOOKUP(B306,Impact_Assessment!A:L,6,FALSE),"")</f>
        <v/>
      </c>
      <c r="E306" s="46" t="str">
        <f t="shared" si="10"/>
        <v/>
      </c>
      <c r="F306" s="18" t="str">
        <f t="shared" si="11"/>
        <v/>
      </c>
      <c r="G306" s="17"/>
      <c r="H306" s="46"/>
      <c r="I306" s="17"/>
    </row>
    <row r="307" spans="1:9" x14ac:dyDescent="0.25">
      <c r="A307" s="46"/>
      <c r="B307" s="46"/>
      <c r="C307" s="46" t="str">
        <f>IFERROR(VLOOKUP(B307,likelihood!A:F,6,FALSE),"")</f>
        <v/>
      </c>
      <c r="D307" s="46" t="str">
        <f>IFERROR(VLOOKUP(B307,Impact_Assessment!A:L,6,FALSE),"")</f>
        <v/>
      </c>
      <c r="E307" s="46" t="str">
        <f t="shared" si="10"/>
        <v/>
      </c>
      <c r="F307" s="18" t="str">
        <f t="shared" si="11"/>
        <v/>
      </c>
      <c r="G307" s="17"/>
      <c r="H307" s="46"/>
      <c r="I307" s="17"/>
    </row>
    <row r="308" spans="1:9" x14ac:dyDescent="0.25">
      <c r="A308" s="46"/>
      <c r="B308" s="46"/>
      <c r="C308" s="46" t="str">
        <f>IFERROR(VLOOKUP(B308,likelihood!A:F,6,FALSE),"")</f>
        <v/>
      </c>
      <c r="D308" s="46" t="str">
        <f>IFERROR(VLOOKUP(B308,Impact_Assessment!A:L,6,FALSE),"")</f>
        <v/>
      </c>
      <c r="E308" s="46" t="str">
        <f t="shared" si="10"/>
        <v/>
      </c>
      <c r="F308" s="18" t="str">
        <f t="shared" si="11"/>
        <v/>
      </c>
      <c r="G308" s="17"/>
      <c r="H308" s="46"/>
      <c r="I308" s="17"/>
    </row>
    <row r="309" spans="1:9" x14ac:dyDescent="0.25">
      <c r="A309" s="46"/>
      <c r="B309" s="46"/>
      <c r="C309" s="46" t="str">
        <f>IFERROR(VLOOKUP(B309,likelihood!A:F,6,FALSE),"")</f>
        <v/>
      </c>
      <c r="D309" s="46" t="str">
        <f>IFERROR(VLOOKUP(B309,Impact_Assessment!A:L,6,FALSE),"")</f>
        <v/>
      </c>
      <c r="E309" s="46" t="str">
        <f t="shared" si="10"/>
        <v/>
      </c>
      <c r="F309" s="18" t="str">
        <f t="shared" si="11"/>
        <v/>
      </c>
      <c r="G309" s="17"/>
      <c r="H309" s="46"/>
      <c r="I309" s="17"/>
    </row>
    <row r="310" spans="1:9" x14ac:dyDescent="0.25">
      <c r="A310" s="46"/>
      <c r="B310" s="46"/>
      <c r="C310" s="46" t="str">
        <f>IFERROR(VLOOKUP(B310,likelihood!A:F,6,FALSE),"")</f>
        <v/>
      </c>
      <c r="D310" s="46" t="str">
        <f>IFERROR(VLOOKUP(B310,Impact_Assessment!A:L,6,FALSE),"")</f>
        <v/>
      </c>
      <c r="E310" s="46" t="str">
        <f t="shared" si="10"/>
        <v/>
      </c>
      <c r="F310" s="18" t="str">
        <f t="shared" si="11"/>
        <v/>
      </c>
      <c r="G310" s="17"/>
      <c r="H310" s="46"/>
      <c r="I310" s="17"/>
    </row>
    <row r="311" spans="1:9" x14ac:dyDescent="0.25">
      <c r="A311" s="46"/>
      <c r="B311" s="46"/>
      <c r="C311" s="46" t="str">
        <f>IFERROR(VLOOKUP(B311,likelihood!A:F,6,FALSE),"")</f>
        <v/>
      </c>
      <c r="D311" s="46" t="str">
        <f>IFERROR(VLOOKUP(B311,Impact_Assessment!A:L,6,FALSE),"")</f>
        <v/>
      </c>
      <c r="E311" s="46" t="str">
        <f t="shared" si="10"/>
        <v/>
      </c>
      <c r="F311" s="18" t="str">
        <f t="shared" si="11"/>
        <v/>
      </c>
      <c r="G311" s="17"/>
      <c r="H311" s="46"/>
      <c r="I311" s="17"/>
    </row>
    <row r="312" spans="1:9" x14ac:dyDescent="0.25">
      <c r="A312" s="46"/>
      <c r="B312" s="46"/>
      <c r="C312" s="46" t="str">
        <f>IFERROR(VLOOKUP(B312,likelihood!A:F,6,FALSE),"")</f>
        <v/>
      </c>
      <c r="D312" s="46" t="str">
        <f>IFERROR(VLOOKUP(B312,Impact_Assessment!A:L,6,FALSE),"")</f>
        <v/>
      </c>
      <c r="E312" s="46" t="str">
        <f t="shared" si="10"/>
        <v/>
      </c>
      <c r="F312" s="18" t="str">
        <f t="shared" si="11"/>
        <v/>
      </c>
      <c r="G312" s="17"/>
      <c r="H312" s="46"/>
      <c r="I312" s="17"/>
    </row>
    <row r="313" spans="1:9" x14ac:dyDescent="0.25">
      <c r="A313" s="46"/>
      <c r="B313" s="46"/>
      <c r="C313" s="46" t="str">
        <f>IFERROR(VLOOKUP(B313,likelihood!A:F,6,FALSE),"")</f>
        <v/>
      </c>
      <c r="D313" s="46" t="str">
        <f>IFERROR(VLOOKUP(B313,Impact_Assessment!A:L,6,FALSE),"")</f>
        <v/>
      </c>
      <c r="E313" s="46" t="str">
        <f t="shared" si="10"/>
        <v/>
      </c>
      <c r="F313" s="18" t="str">
        <f t="shared" si="11"/>
        <v/>
      </c>
      <c r="G313" s="17"/>
      <c r="H313" s="46"/>
      <c r="I313" s="17"/>
    </row>
    <row r="314" spans="1:9" x14ac:dyDescent="0.25">
      <c r="A314" s="46"/>
      <c r="B314" s="46"/>
      <c r="C314" s="46" t="str">
        <f>IFERROR(VLOOKUP(B314,likelihood!A:F,6,FALSE),"")</f>
        <v/>
      </c>
      <c r="D314" s="46" t="str">
        <f>IFERROR(VLOOKUP(B314,Impact_Assessment!A:L,6,FALSE),"")</f>
        <v/>
      </c>
      <c r="E314" s="46" t="str">
        <f t="shared" si="10"/>
        <v/>
      </c>
      <c r="F314" s="18" t="str">
        <f t="shared" si="11"/>
        <v/>
      </c>
      <c r="G314" s="17"/>
      <c r="H314" s="46"/>
      <c r="I314" s="17"/>
    </row>
    <row r="315" spans="1:9" x14ac:dyDescent="0.25">
      <c r="A315" s="46"/>
      <c r="B315" s="46"/>
      <c r="C315" s="46" t="str">
        <f>IFERROR(VLOOKUP(B315,likelihood!A:F,6,FALSE),"")</f>
        <v/>
      </c>
      <c r="D315" s="46" t="str">
        <f>IFERROR(VLOOKUP(B315,Impact_Assessment!A:L,6,FALSE),"")</f>
        <v/>
      </c>
      <c r="E315" s="46" t="str">
        <f t="shared" si="10"/>
        <v/>
      </c>
      <c r="F315" s="18" t="str">
        <f t="shared" si="11"/>
        <v/>
      </c>
      <c r="G315" s="17"/>
      <c r="H315" s="46"/>
      <c r="I315" s="17"/>
    </row>
    <row r="316" spans="1:9" x14ac:dyDescent="0.25">
      <c r="A316" s="46"/>
      <c r="B316" s="46"/>
      <c r="C316" s="46" t="str">
        <f>IFERROR(VLOOKUP(B316,likelihood!A:F,6,FALSE),"")</f>
        <v/>
      </c>
      <c r="D316" s="46" t="str">
        <f>IFERROR(VLOOKUP(B316,Impact_Assessment!A:L,6,FALSE),"")</f>
        <v/>
      </c>
      <c r="E316" s="46" t="str">
        <f t="shared" si="10"/>
        <v/>
      </c>
      <c r="F316" s="18" t="str">
        <f t="shared" si="11"/>
        <v/>
      </c>
      <c r="G316" s="17"/>
      <c r="H316" s="46"/>
      <c r="I316" s="17"/>
    </row>
    <row r="317" spans="1:9" x14ac:dyDescent="0.25">
      <c r="A317" s="46"/>
      <c r="B317" s="46"/>
      <c r="C317" s="46" t="str">
        <f>IFERROR(VLOOKUP(B317,likelihood!A:F,6,FALSE),"")</f>
        <v/>
      </c>
      <c r="D317" s="46" t="str">
        <f>IFERROR(VLOOKUP(B317,Impact_Assessment!A:L,6,FALSE),"")</f>
        <v/>
      </c>
      <c r="E317" s="46" t="str">
        <f t="shared" si="10"/>
        <v/>
      </c>
      <c r="F317" s="18" t="str">
        <f t="shared" si="11"/>
        <v/>
      </c>
      <c r="G317" s="17"/>
      <c r="H317" s="46"/>
      <c r="I317" s="17"/>
    </row>
    <row r="318" spans="1:9" x14ac:dyDescent="0.25">
      <c r="A318" s="46"/>
      <c r="B318" s="46"/>
      <c r="C318" s="46" t="str">
        <f>IFERROR(VLOOKUP(B318,likelihood!A:F,6,FALSE),"")</f>
        <v/>
      </c>
      <c r="D318" s="46" t="str">
        <f>IFERROR(VLOOKUP(B318,Impact_Assessment!A:L,6,FALSE),"")</f>
        <v/>
      </c>
      <c r="E318" s="46" t="str">
        <f t="shared" si="10"/>
        <v/>
      </c>
      <c r="F318" s="18" t="str">
        <f t="shared" si="11"/>
        <v/>
      </c>
      <c r="G318" s="17"/>
      <c r="H318" s="46"/>
      <c r="I318" s="17"/>
    </row>
    <row r="319" spans="1:9" x14ac:dyDescent="0.25">
      <c r="A319" s="46"/>
      <c r="B319" s="46"/>
      <c r="C319" s="46" t="str">
        <f>IFERROR(VLOOKUP(B319,likelihood!A:F,6,FALSE),"")</f>
        <v/>
      </c>
      <c r="D319" s="46" t="str">
        <f>IFERROR(VLOOKUP(B319,Impact_Assessment!A:L,6,FALSE),"")</f>
        <v/>
      </c>
      <c r="E319" s="46" t="str">
        <f t="shared" si="10"/>
        <v/>
      </c>
      <c r="F319" s="18" t="str">
        <f t="shared" si="11"/>
        <v/>
      </c>
      <c r="G319" s="17"/>
      <c r="H319" s="46"/>
      <c r="I319" s="17"/>
    </row>
    <row r="320" spans="1:9" x14ac:dyDescent="0.25">
      <c r="A320" s="46"/>
      <c r="B320" s="46"/>
      <c r="C320" s="46" t="str">
        <f>IFERROR(VLOOKUP(B320,likelihood!A:F,6,FALSE),"")</f>
        <v/>
      </c>
      <c r="D320" s="46" t="str">
        <f>IFERROR(VLOOKUP(B320,Impact_Assessment!A:L,6,FALSE),"")</f>
        <v/>
      </c>
      <c r="E320" s="46" t="str">
        <f t="shared" si="10"/>
        <v/>
      </c>
      <c r="F320" s="18" t="str">
        <f t="shared" si="11"/>
        <v/>
      </c>
      <c r="G320" s="17"/>
      <c r="H320" s="46"/>
      <c r="I320" s="17"/>
    </row>
    <row r="321" spans="1:9" x14ac:dyDescent="0.25">
      <c r="A321" s="46"/>
      <c r="B321" s="46"/>
      <c r="C321" s="46" t="str">
        <f>IFERROR(VLOOKUP(B321,likelihood!A:F,6,FALSE),"")</f>
        <v/>
      </c>
      <c r="D321" s="46" t="str">
        <f>IFERROR(VLOOKUP(B321,Impact_Assessment!A:L,6,FALSE),"")</f>
        <v/>
      </c>
      <c r="E321" s="46" t="str">
        <f t="shared" si="10"/>
        <v/>
      </c>
      <c r="F321" s="18" t="str">
        <f t="shared" si="11"/>
        <v/>
      </c>
      <c r="G321" s="17"/>
      <c r="H321" s="46"/>
      <c r="I321" s="17"/>
    </row>
    <row r="322" spans="1:9" x14ac:dyDescent="0.25">
      <c r="A322" s="46"/>
      <c r="B322" s="46"/>
      <c r="C322" s="46" t="str">
        <f>IFERROR(VLOOKUP(B322,likelihood!A:F,6,FALSE),"")</f>
        <v/>
      </c>
      <c r="D322" s="46" t="str">
        <f>IFERROR(VLOOKUP(B322,Impact_Assessment!A:L,6,FALSE),"")</f>
        <v/>
      </c>
      <c r="E322" s="46" t="str">
        <f t="shared" ref="E322:E385" si="12">IF(C322&lt;&gt;"",C322*D322,"")</f>
        <v/>
      </c>
      <c r="F322" s="18" t="str">
        <f t="shared" si="11"/>
        <v/>
      </c>
      <c r="G322" s="17"/>
      <c r="H322" s="46"/>
      <c r="I322" s="17"/>
    </row>
    <row r="323" spans="1:9" x14ac:dyDescent="0.25">
      <c r="A323" s="46"/>
      <c r="B323" s="46"/>
      <c r="C323" s="46" t="str">
        <f>IFERROR(VLOOKUP(B323,likelihood!A:F,6,FALSE),"")</f>
        <v/>
      </c>
      <c r="D323" s="46" t="str">
        <f>IFERROR(VLOOKUP(B323,Impact_Assessment!A:L,6,FALSE),"")</f>
        <v/>
      </c>
      <c r="E323" s="46" t="str">
        <f t="shared" si="12"/>
        <v/>
      </c>
      <c r="F323" s="18" t="str">
        <f t="shared" ref="F323:F386" si="13">IF(E323="","",
 IF(E323&lt;=5,"Low",IF(E323&lt;=10,"Medium",
 IF(E323&lt;=15,"High","Critical"))))</f>
        <v/>
      </c>
      <c r="G323" s="17"/>
      <c r="H323" s="46"/>
      <c r="I323" s="17"/>
    </row>
    <row r="324" spans="1:9" x14ac:dyDescent="0.25">
      <c r="A324" s="46"/>
      <c r="B324" s="46"/>
      <c r="C324" s="46" t="str">
        <f>IFERROR(VLOOKUP(B324,likelihood!A:F,6,FALSE),"")</f>
        <v/>
      </c>
      <c r="D324" s="46" t="str">
        <f>IFERROR(VLOOKUP(B324,Impact_Assessment!A:L,6,FALSE),"")</f>
        <v/>
      </c>
      <c r="E324" s="46" t="str">
        <f t="shared" si="12"/>
        <v/>
      </c>
      <c r="F324" s="18" t="str">
        <f t="shared" si="13"/>
        <v/>
      </c>
      <c r="G324" s="17"/>
      <c r="H324" s="46"/>
      <c r="I324" s="17"/>
    </row>
    <row r="325" spans="1:9" x14ac:dyDescent="0.25">
      <c r="A325" s="46"/>
      <c r="B325" s="46"/>
      <c r="C325" s="46" t="str">
        <f>IFERROR(VLOOKUP(B325,likelihood!A:F,6,FALSE),"")</f>
        <v/>
      </c>
      <c r="D325" s="46" t="str">
        <f>IFERROR(VLOOKUP(B325,Impact_Assessment!A:L,6,FALSE),"")</f>
        <v/>
      </c>
      <c r="E325" s="46" t="str">
        <f t="shared" si="12"/>
        <v/>
      </c>
      <c r="F325" s="18" t="str">
        <f t="shared" si="13"/>
        <v/>
      </c>
      <c r="G325" s="17"/>
      <c r="H325" s="46"/>
      <c r="I325" s="17"/>
    </row>
    <row r="326" spans="1:9" x14ac:dyDescent="0.25">
      <c r="A326" s="46"/>
      <c r="B326" s="46"/>
      <c r="C326" s="46" t="str">
        <f>IFERROR(VLOOKUP(B326,likelihood!A:F,6,FALSE),"")</f>
        <v/>
      </c>
      <c r="D326" s="46" t="str">
        <f>IFERROR(VLOOKUP(B326,Impact_Assessment!A:L,6,FALSE),"")</f>
        <v/>
      </c>
      <c r="E326" s="46" t="str">
        <f t="shared" si="12"/>
        <v/>
      </c>
      <c r="F326" s="18" t="str">
        <f t="shared" si="13"/>
        <v/>
      </c>
      <c r="G326" s="17"/>
      <c r="H326" s="46"/>
      <c r="I326" s="17"/>
    </row>
    <row r="327" spans="1:9" x14ac:dyDescent="0.25">
      <c r="A327" s="46"/>
      <c r="B327" s="46"/>
      <c r="C327" s="46" t="str">
        <f>IFERROR(VLOOKUP(B327,likelihood!A:F,6,FALSE),"")</f>
        <v/>
      </c>
      <c r="D327" s="46" t="str">
        <f>IFERROR(VLOOKUP(B327,Impact_Assessment!A:L,6,FALSE),"")</f>
        <v/>
      </c>
      <c r="E327" s="46" t="str">
        <f t="shared" si="12"/>
        <v/>
      </c>
      <c r="F327" s="18" t="str">
        <f t="shared" si="13"/>
        <v/>
      </c>
      <c r="G327" s="17"/>
      <c r="H327" s="46"/>
      <c r="I327" s="17"/>
    </row>
    <row r="328" spans="1:9" x14ac:dyDescent="0.25">
      <c r="A328" s="46"/>
      <c r="B328" s="46"/>
      <c r="C328" s="46" t="str">
        <f>IFERROR(VLOOKUP(B328,likelihood!A:F,6,FALSE),"")</f>
        <v/>
      </c>
      <c r="D328" s="46" t="str">
        <f>IFERROR(VLOOKUP(B328,Impact_Assessment!A:L,6,FALSE),"")</f>
        <v/>
      </c>
      <c r="E328" s="46" t="str">
        <f t="shared" si="12"/>
        <v/>
      </c>
      <c r="F328" s="18" t="str">
        <f t="shared" si="13"/>
        <v/>
      </c>
      <c r="G328" s="17"/>
      <c r="H328" s="46"/>
      <c r="I328" s="17"/>
    </row>
    <row r="329" spans="1:9" x14ac:dyDescent="0.25">
      <c r="A329" s="46"/>
      <c r="B329" s="46"/>
      <c r="C329" s="46" t="str">
        <f>IFERROR(VLOOKUP(B329,likelihood!A:F,6,FALSE),"")</f>
        <v/>
      </c>
      <c r="D329" s="46" t="str">
        <f>IFERROR(VLOOKUP(B329,Impact_Assessment!A:L,6,FALSE),"")</f>
        <v/>
      </c>
      <c r="E329" s="46" t="str">
        <f t="shared" si="12"/>
        <v/>
      </c>
      <c r="F329" s="18" t="str">
        <f t="shared" si="13"/>
        <v/>
      </c>
      <c r="G329" s="17"/>
      <c r="H329" s="46"/>
      <c r="I329" s="17"/>
    </row>
    <row r="330" spans="1:9" x14ac:dyDescent="0.25">
      <c r="A330" s="46"/>
      <c r="B330" s="46"/>
      <c r="C330" s="46" t="str">
        <f>IFERROR(VLOOKUP(B330,likelihood!A:F,6,FALSE),"")</f>
        <v/>
      </c>
      <c r="D330" s="46" t="str">
        <f>IFERROR(VLOOKUP(B330,Impact_Assessment!A:L,6,FALSE),"")</f>
        <v/>
      </c>
      <c r="E330" s="46" t="str">
        <f t="shared" si="12"/>
        <v/>
      </c>
      <c r="F330" s="18" t="str">
        <f t="shared" si="13"/>
        <v/>
      </c>
      <c r="G330" s="17"/>
      <c r="H330" s="46"/>
      <c r="I330" s="17"/>
    </row>
    <row r="331" spans="1:9" x14ac:dyDescent="0.25">
      <c r="A331" s="46"/>
      <c r="B331" s="46"/>
      <c r="C331" s="46" t="str">
        <f>IFERROR(VLOOKUP(B331,likelihood!A:F,6,FALSE),"")</f>
        <v/>
      </c>
      <c r="D331" s="46" t="str">
        <f>IFERROR(VLOOKUP(B331,Impact_Assessment!A:L,6,FALSE),"")</f>
        <v/>
      </c>
      <c r="E331" s="46" t="str">
        <f t="shared" si="12"/>
        <v/>
      </c>
      <c r="F331" s="18" t="str">
        <f t="shared" si="13"/>
        <v/>
      </c>
      <c r="G331" s="17"/>
      <c r="H331" s="46"/>
      <c r="I331" s="17"/>
    </row>
    <row r="332" spans="1:9" x14ac:dyDescent="0.25">
      <c r="A332" s="46"/>
      <c r="B332" s="46"/>
      <c r="C332" s="46" t="str">
        <f>IFERROR(VLOOKUP(B332,likelihood!A:F,6,FALSE),"")</f>
        <v/>
      </c>
      <c r="D332" s="46" t="str">
        <f>IFERROR(VLOOKUP(B332,Impact_Assessment!A:L,6,FALSE),"")</f>
        <v/>
      </c>
      <c r="E332" s="46" t="str">
        <f t="shared" si="12"/>
        <v/>
      </c>
      <c r="F332" s="18" t="str">
        <f t="shared" si="13"/>
        <v/>
      </c>
      <c r="G332" s="17"/>
      <c r="H332" s="46"/>
      <c r="I332" s="17"/>
    </row>
    <row r="333" spans="1:9" x14ac:dyDescent="0.25">
      <c r="A333" s="46"/>
      <c r="B333" s="46"/>
      <c r="C333" s="46" t="str">
        <f>IFERROR(VLOOKUP(B333,likelihood!A:F,6,FALSE),"")</f>
        <v/>
      </c>
      <c r="D333" s="46" t="str">
        <f>IFERROR(VLOOKUP(B333,Impact_Assessment!A:L,6,FALSE),"")</f>
        <v/>
      </c>
      <c r="E333" s="46" t="str">
        <f t="shared" si="12"/>
        <v/>
      </c>
      <c r="F333" s="18" t="str">
        <f t="shared" si="13"/>
        <v/>
      </c>
      <c r="G333" s="17"/>
      <c r="H333" s="46"/>
      <c r="I333" s="17"/>
    </row>
    <row r="334" spans="1:9" x14ac:dyDescent="0.25">
      <c r="A334" s="46"/>
      <c r="B334" s="46"/>
      <c r="C334" s="46" t="str">
        <f>IFERROR(VLOOKUP(B334,likelihood!A:F,6,FALSE),"")</f>
        <v/>
      </c>
      <c r="D334" s="46" t="str">
        <f>IFERROR(VLOOKUP(B334,Impact_Assessment!A:L,6,FALSE),"")</f>
        <v/>
      </c>
      <c r="E334" s="46" t="str">
        <f t="shared" si="12"/>
        <v/>
      </c>
      <c r="F334" s="18" t="str">
        <f t="shared" si="13"/>
        <v/>
      </c>
      <c r="G334" s="17"/>
      <c r="H334" s="46"/>
      <c r="I334" s="17"/>
    </row>
    <row r="335" spans="1:9" x14ac:dyDescent="0.25">
      <c r="A335" s="46"/>
      <c r="B335" s="46"/>
      <c r="C335" s="46" t="str">
        <f>IFERROR(VLOOKUP(B335,likelihood!A:F,6,FALSE),"")</f>
        <v/>
      </c>
      <c r="D335" s="46" t="str">
        <f>IFERROR(VLOOKUP(B335,Impact_Assessment!A:L,6,FALSE),"")</f>
        <v/>
      </c>
      <c r="E335" s="46" t="str">
        <f t="shared" si="12"/>
        <v/>
      </c>
      <c r="F335" s="18" t="str">
        <f t="shared" si="13"/>
        <v/>
      </c>
      <c r="G335" s="17"/>
      <c r="H335" s="46"/>
      <c r="I335" s="17"/>
    </row>
    <row r="336" spans="1:9" x14ac:dyDescent="0.25">
      <c r="A336" s="46"/>
      <c r="B336" s="46"/>
      <c r="C336" s="46" t="str">
        <f>IFERROR(VLOOKUP(B336,likelihood!A:F,6,FALSE),"")</f>
        <v/>
      </c>
      <c r="D336" s="46" t="str">
        <f>IFERROR(VLOOKUP(B336,Impact_Assessment!A:L,6,FALSE),"")</f>
        <v/>
      </c>
      <c r="E336" s="46" t="str">
        <f t="shared" si="12"/>
        <v/>
      </c>
      <c r="F336" s="18" t="str">
        <f t="shared" si="13"/>
        <v/>
      </c>
      <c r="G336" s="17"/>
      <c r="H336" s="46"/>
      <c r="I336" s="17"/>
    </row>
    <row r="337" spans="1:9" x14ac:dyDescent="0.25">
      <c r="A337" s="46"/>
      <c r="B337" s="46"/>
      <c r="C337" s="46" t="str">
        <f>IFERROR(VLOOKUP(B337,likelihood!A:F,6,FALSE),"")</f>
        <v/>
      </c>
      <c r="D337" s="46" t="str">
        <f>IFERROR(VLOOKUP(B337,Impact_Assessment!A:L,6,FALSE),"")</f>
        <v/>
      </c>
      <c r="E337" s="46" t="str">
        <f t="shared" si="12"/>
        <v/>
      </c>
      <c r="F337" s="18" t="str">
        <f t="shared" si="13"/>
        <v/>
      </c>
      <c r="G337" s="17"/>
      <c r="H337" s="46"/>
      <c r="I337" s="17"/>
    </row>
    <row r="338" spans="1:9" x14ac:dyDescent="0.25">
      <c r="A338" s="46"/>
      <c r="B338" s="46"/>
      <c r="C338" s="46" t="str">
        <f>IFERROR(VLOOKUP(B338,likelihood!A:F,6,FALSE),"")</f>
        <v/>
      </c>
      <c r="D338" s="46" t="str">
        <f>IFERROR(VLOOKUP(B338,Impact_Assessment!A:L,6,FALSE),"")</f>
        <v/>
      </c>
      <c r="E338" s="46" t="str">
        <f t="shared" si="12"/>
        <v/>
      </c>
      <c r="F338" s="18" t="str">
        <f t="shared" si="13"/>
        <v/>
      </c>
      <c r="G338" s="17"/>
      <c r="H338" s="46"/>
      <c r="I338" s="17"/>
    </row>
    <row r="339" spans="1:9" x14ac:dyDescent="0.25">
      <c r="A339" s="46"/>
      <c r="B339" s="46"/>
      <c r="C339" s="46" t="str">
        <f>IFERROR(VLOOKUP(B339,likelihood!A:F,6,FALSE),"")</f>
        <v/>
      </c>
      <c r="D339" s="46" t="str">
        <f>IFERROR(VLOOKUP(B339,Impact_Assessment!A:L,6,FALSE),"")</f>
        <v/>
      </c>
      <c r="E339" s="46" t="str">
        <f t="shared" si="12"/>
        <v/>
      </c>
      <c r="F339" s="18" t="str">
        <f t="shared" si="13"/>
        <v/>
      </c>
      <c r="G339" s="17"/>
      <c r="H339" s="46"/>
      <c r="I339" s="17"/>
    </row>
    <row r="340" spans="1:9" x14ac:dyDescent="0.25">
      <c r="A340" s="46"/>
      <c r="B340" s="46"/>
      <c r="C340" s="46" t="str">
        <f>IFERROR(VLOOKUP(B340,likelihood!A:F,6,FALSE),"")</f>
        <v/>
      </c>
      <c r="D340" s="46" t="str">
        <f>IFERROR(VLOOKUP(B340,Impact_Assessment!A:L,6,FALSE),"")</f>
        <v/>
      </c>
      <c r="E340" s="46" t="str">
        <f t="shared" si="12"/>
        <v/>
      </c>
      <c r="F340" s="18" t="str">
        <f t="shared" si="13"/>
        <v/>
      </c>
      <c r="G340" s="17"/>
      <c r="H340" s="46"/>
      <c r="I340" s="17"/>
    </row>
    <row r="341" spans="1:9" x14ac:dyDescent="0.25">
      <c r="A341" s="46"/>
      <c r="B341" s="46"/>
      <c r="C341" s="46" t="str">
        <f>IFERROR(VLOOKUP(B341,likelihood!A:F,6,FALSE),"")</f>
        <v/>
      </c>
      <c r="D341" s="46" t="str">
        <f>IFERROR(VLOOKUP(B341,Impact_Assessment!A:L,6,FALSE),"")</f>
        <v/>
      </c>
      <c r="E341" s="46" t="str">
        <f t="shared" si="12"/>
        <v/>
      </c>
      <c r="F341" s="18" t="str">
        <f t="shared" si="13"/>
        <v/>
      </c>
      <c r="G341" s="17"/>
      <c r="H341" s="46"/>
      <c r="I341" s="17"/>
    </row>
    <row r="342" spans="1:9" x14ac:dyDescent="0.25">
      <c r="A342" s="46"/>
      <c r="B342" s="46"/>
      <c r="C342" s="46" t="str">
        <f>IFERROR(VLOOKUP(B342,likelihood!A:F,6,FALSE),"")</f>
        <v/>
      </c>
      <c r="D342" s="46" t="str">
        <f>IFERROR(VLOOKUP(B342,Impact_Assessment!A:L,6,FALSE),"")</f>
        <v/>
      </c>
      <c r="E342" s="46" t="str">
        <f t="shared" si="12"/>
        <v/>
      </c>
      <c r="F342" s="18" t="str">
        <f t="shared" si="13"/>
        <v/>
      </c>
      <c r="G342" s="17"/>
      <c r="H342" s="46"/>
      <c r="I342" s="17"/>
    </row>
    <row r="343" spans="1:9" x14ac:dyDescent="0.25">
      <c r="A343" s="46"/>
      <c r="B343" s="46"/>
      <c r="C343" s="46" t="str">
        <f>IFERROR(VLOOKUP(B343,likelihood!A:F,6,FALSE),"")</f>
        <v/>
      </c>
      <c r="D343" s="46" t="str">
        <f>IFERROR(VLOOKUP(B343,Impact_Assessment!A:L,6,FALSE),"")</f>
        <v/>
      </c>
      <c r="E343" s="46" t="str">
        <f t="shared" si="12"/>
        <v/>
      </c>
      <c r="F343" s="18" t="str">
        <f t="shared" si="13"/>
        <v/>
      </c>
      <c r="G343" s="17"/>
      <c r="H343" s="46"/>
      <c r="I343" s="17"/>
    </row>
    <row r="344" spans="1:9" x14ac:dyDescent="0.25">
      <c r="A344" s="46"/>
      <c r="B344" s="46"/>
      <c r="C344" s="46" t="str">
        <f>IFERROR(VLOOKUP(B344,likelihood!A:F,6,FALSE),"")</f>
        <v/>
      </c>
      <c r="D344" s="46" t="str">
        <f>IFERROR(VLOOKUP(B344,Impact_Assessment!A:L,6,FALSE),"")</f>
        <v/>
      </c>
      <c r="E344" s="46" t="str">
        <f t="shared" si="12"/>
        <v/>
      </c>
      <c r="F344" s="18" t="str">
        <f t="shared" si="13"/>
        <v/>
      </c>
      <c r="G344" s="17"/>
      <c r="H344" s="46"/>
      <c r="I344" s="17"/>
    </row>
    <row r="345" spans="1:9" x14ac:dyDescent="0.25">
      <c r="A345" s="46"/>
      <c r="B345" s="46"/>
      <c r="C345" s="46" t="str">
        <f>IFERROR(VLOOKUP(B345,likelihood!A:F,6,FALSE),"")</f>
        <v/>
      </c>
      <c r="D345" s="46" t="str">
        <f>IFERROR(VLOOKUP(B345,Impact_Assessment!A:L,6,FALSE),"")</f>
        <v/>
      </c>
      <c r="E345" s="46" t="str">
        <f t="shared" si="12"/>
        <v/>
      </c>
      <c r="F345" s="18" t="str">
        <f t="shared" si="13"/>
        <v/>
      </c>
      <c r="G345" s="17"/>
      <c r="H345" s="46"/>
      <c r="I345" s="17"/>
    </row>
    <row r="346" spans="1:9" x14ac:dyDescent="0.25">
      <c r="A346" s="46"/>
      <c r="B346" s="46"/>
      <c r="C346" s="46" t="str">
        <f>IFERROR(VLOOKUP(B346,likelihood!A:F,6,FALSE),"")</f>
        <v/>
      </c>
      <c r="D346" s="46" t="str">
        <f>IFERROR(VLOOKUP(B346,Impact_Assessment!A:L,6,FALSE),"")</f>
        <v/>
      </c>
      <c r="E346" s="46" t="str">
        <f t="shared" si="12"/>
        <v/>
      </c>
      <c r="F346" s="18" t="str">
        <f t="shared" si="13"/>
        <v/>
      </c>
      <c r="G346" s="17"/>
      <c r="H346" s="46"/>
      <c r="I346" s="17"/>
    </row>
    <row r="347" spans="1:9" x14ac:dyDescent="0.25">
      <c r="A347" s="46"/>
      <c r="B347" s="46"/>
      <c r="C347" s="46" t="str">
        <f>IFERROR(VLOOKUP(B347,likelihood!A:F,6,FALSE),"")</f>
        <v/>
      </c>
      <c r="D347" s="46" t="str">
        <f>IFERROR(VLOOKUP(B347,Impact_Assessment!A:L,6,FALSE),"")</f>
        <v/>
      </c>
      <c r="E347" s="46" t="str">
        <f t="shared" si="12"/>
        <v/>
      </c>
      <c r="F347" s="18" t="str">
        <f t="shared" si="13"/>
        <v/>
      </c>
      <c r="G347" s="17"/>
      <c r="H347" s="46"/>
      <c r="I347" s="17"/>
    </row>
    <row r="348" spans="1:9" x14ac:dyDescent="0.25">
      <c r="A348" s="46"/>
      <c r="B348" s="46"/>
      <c r="C348" s="46" t="str">
        <f>IFERROR(VLOOKUP(B348,likelihood!A:F,6,FALSE),"")</f>
        <v/>
      </c>
      <c r="D348" s="46" t="str">
        <f>IFERROR(VLOOKUP(B348,Impact_Assessment!A:L,6,FALSE),"")</f>
        <v/>
      </c>
      <c r="E348" s="46" t="str">
        <f t="shared" si="12"/>
        <v/>
      </c>
      <c r="F348" s="18" t="str">
        <f t="shared" si="13"/>
        <v/>
      </c>
      <c r="G348" s="17"/>
      <c r="H348" s="46"/>
      <c r="I348" s="17"/>
    </row>
    <row r="349" spans="1:9" x14ac:dyDescent="0.25">
      <c r="A349" s="46"/>
      <c r="B349" s="46"/>
      <c r="C349" s="46" t="str">
        <f>IFERROR(VLOOKUP(B349,likelihood!A:F,6,FALSE),"")</f>
        <v/>
      </c>
      <c r="D349" s="46" t="str">
        <f>IFERROR(VLOOKUP(B349,Impact_Assessment!A:L,6,FALSE),"")</f>
        <v/>
      </c>
      <c r="E349" s="46" t="str">
        <f t="shared" si="12"/>
        <v/>
      </c>
      <c r="F349" s="18" t="str">
        <f t="shared" si="13"/>
        <v/>
      </c>
      <c r="G349" s="17"/>
      <c r="H349" s="46"/>
      <c r="I349" s="17"/>
    </row>
    <row r="350" spans="1:9" x14ac:dyDescent="0.25">
      <c r="A350" s="46"/>
      <c r="B350" s="46"/>
      <c r="C350" s="46" t="str">
        <f>IFERROR(VLOOKUP(B350,likelihood!A:F,6,FALSE),"")</f>
        <v/>
      </c>
      <c r="D350" s="46" t="str">
        <f>IFERROR(VLOOKUP(B350,Impact_Assessment!A:L,6,FALSE),"")</f>
        <v/>
      </c>
      <c r="E350" s="46" t="str">
        <f t="shared" si="12"/>
        <v/>
      </c>
      <c r="F350" s="18" t="str">
        <f t="shared" si="13"/>
        <v/>
      </c>
      <c r="G350" s="17"/>
      <c r="H350" s="46"/>
      <c r="I350" s="17"/>
    </row>
    <row r="351" spans="1:9" x14ac:dyDescent="0.25">
      <c r="A351" s="46"/>
      <c r="B351" s="46"/>
      <c r="C351" s="46" t="str">
        <f>IFERROR(VLOOKUP(B351,likelihood!A:F,6,FALSE),"")</f>
        <v/>
      </c>
      <c r="D351" s="46" t="str">
        <f>IFERROR(VLOOKUP(B351,Impact_Assessment!A:L,6,FALSE),"")</f>
        <v/>
      </c>
      <c r="E351" s="46" t="str">
        <f t="shared" si="12"/>
        <v/>
      </c>
      <c r="F351" s="18" t="str">
        <f t="shared" si="13"/>
        <v/>
      </c>
      <c r="G351" s="17"/>
      <c r="H351" s="46"/>
      <c r="I351" s="17"/>
    </row>
    <row r="352" spans="1:9" x14ac:dyDescent="0.25">
      <c r="A352" s="46"/>
      <c r="B352" s="46"/>
      <c r="C352" s="46" t="str">
        <f>IFERROR(VLOOKUP(B352,likelihood!A:F,6,FALSE),"")</f>
        <v/>
      </c>
      <c r="D352" s="46" t="str">
        <f>IFERROR(VLOOKUP(B352,Impact_Assessment!A:L,6,FALSE),"")</f>
        <v/>
      </c>
      <c r="E352" s="46" t="str">
        <f t="shared" si="12"/>
        <v/>
      </c>
      <c r="F352" s="18" t="str">
        <f t="shared" si="13"/>
        <v/>
      </c>
      <c r="G352" s="17"/>
      <c r="H352" s="46"/>
      <c r="I352" s="17"/>
    </row>
    <row r="353" spans="1:9" x14ac:dyDescent="0.25">
      <c r="A353" s="46"/>
      <c r="B353" s="46"/>
      <c r="C353" s="46" t="str">
        <f>IFERROR(VLOOKUP(B353,likelihood!A:F,6,FALSE),"")</f>
        <v/>
      </c>
      <c r="D353" s="46" t="str">
        <f>IFERROR(VLOOKUP(B353,Impact_Assessment!A:L,6,FALSE),"")</f>
        <v/>
      </c>
      <c r="E353" s="46" t="str">
        <f t="shared" si="12"/>
        <v/>
      </c>
      <c r="F353" s="18" t="str">
        <f t="shared" si="13"/>
        <v/>
      </c>
      <c r="G353" s="17"/>
      <c r="H353" s="46"/>
      <c r="I353" s="17"/>
    </row>
    <row r="354" spans="1:9" x14ac:dyDescent="0.25">
      <c r="A354" s="46"/>
      <c r="B354" s="46"/>
      <c r="C354" s="46" t="str">
        <f>IFERROR(VLOOKUP(B354,likelihood!A:F,6,FALSE),"")</f>
        <v/>
      </c>
      <c r="D354" s="46" t="str">
        <f>IFERROR(VLOOKUP(B354,Impact_Assessment!A:L,6,FALSE),"")</f>
        <v/>
      </c>
      <c r="E354" s="46" t="str">
        <f t="shared" si="12"/>
        <v/>
      </c>
      <c r="F354" s="18" t="str">
        <f t="shared" si="13"/>
        <v/>
      </c>
      <c r="G354" s="17"/>
      <c r="H354" s="46"/>
      <c r="I354" s="17"/>
    </row>
    <row r="355" spans="1:9" x14ac:dyDescent="0.25">
      <c r="A355" s="46"/>
      <c r="B355" s="46"/>
      <c r="C355" s="46" t="str">
        <f>IFERROR(VLOOKUP(B355,likelihood!A:F,6,FALSE),"")</f>
        <v/>
      </c>
      <c r="D355" s="46" t="str">
        <f>IFERROR(VLOOKUP(B355,Impact_Assessment!A:L,6,FALSE),"")</f>
        <v/>
      </c>
      <c r="E355" s="46" t="str">
        <f t="shared" si="12"/>
        <v/>
      </c>
      <c r="F355" s="18" t="str">
        <f t="shared" si="13"/>
        <v/>
      </c>
      <c r="G355" s="17"/>
      <c r="H355" s="46"/>
      <c r="I355" s="17"/>
    </row>
    <row r="356" spans="1:9" x14ac:dyDescent="0.25">
      <c r="A356" s="46"/>
      <c r="B356" s="46"/>
      <c r="C356" s="46" t="str">
        <f>IFERROR(VLOOKUP(B356,likelihood!A:F,6,FALSE),"")</f>
        <v/>
      </c>
      <c r="D356" s="46" t="str">
        <f>IFERROR(VLOOKUP(B356,Impact_Assessment!A:L,6,FALSE),"")</f>
        <v/>
      </c>
      <c r="E356" s="46" t="str">
        <f t="shared" si="12"/>
        <v/>
      </c>
      <c r="F356" s="18" t="str">
        <f t="shared" si="13"/>
        <v/>
      </c>
      <c r="G356" s="17"/>
      <c r="H356" s="46"/>
      <c r="I356" s="17"/>
    </row>
    <row r="357" spans="1:9" x14ac:dyDescent="0.25">
      <c r="A357" s="46"/>
      <c r="B357" s="46"/>
      <c r="C357" s="46" t="str">
        <f>IFERROR(VLOOKUP(B357,likelihood!A:F,6,FALSE),"")</f>
        <v/>
      </c>
      <c r="D357" s="46" t="str">
        <f>IFERROR(VLOOKUP(B357,Impact_Assessment!A:L,6,FALSE),"")</f>
        <v/>
      </c>
      <c r="E357" s="46" t="str">
        <f t="shared" si="12"/>
        <v/>
      </c>
      <c r="F357" s="18" t="str">
        <f t="shared" si="13"/>
        <v/>
      </c>
      <c r="G357" s="17"/>
      <c r="H357" s="46"/>
      <c r="I357" s="17"/>
    </row>
    <row r="358" spans="1:9" x14ac:dyDescent="0.25">
      <c r="A358" s="46"/>
      <c r="B358" s="46"/>
      <c r="C358" s="46" t="str">
        <f>IFERROR(VLOOKUP(B358,likelihood!A:F,6,FALSE),"")</f>
        <v/>
      </c>
      <c r="D358" s="46" t="str">
        <f>IFERROR(VLOOKUP(B358,Impact_Assessment!A:L,6,FALSE),"")</f>
        <v/>
      </c>
      <c r="E358" s="46" t="str">
        <f t="shared" si="12"/>
        <v/>
      </c>
      <c r="F358" s="18" t="str">
        <f t="shared" si="13"/>
        <v/>
      </c>
      <c r="G358" s="17"/>
      <c r="H358" s="46"/>
      <c r="I358" s="17"/>
    </row>
    <row r="359" spans="1:9" x14ac:dyDescent="0.25">
      <c r="A359" s="46"/>
      <c r="B359" s="46"/>
      <c r="C359" s="46" t="str">
        <f>IFERROR(VLOOKUP(B359,likelihood!A:F,6,FALSE),"")</f>
        <v/>
      </c>
      <c r="D359" s="46" t="str">
        <f>IFERROR(VLOOKUP(B359,Impact_Assessment!A:L,6,FALSE),"")</f>
        <v/>
      </c>
      <c r="E359" s="46" t="str">
        <f t="shared" si="12"/>
        <v/>
      </c>
      <c r="F359" s="18" t="str">
        <f t="shared" si="13"/>
        <v/>
      </c>
      <c r="G359" s="17"/>
      <c r="H359" s="46"/>
      <c r="I359" s="17"/>
    </row>
    <row r="360" spans="1:9" x14ac:dyDescent="0.25">
      <c r="A360" s="46"/>
      <c r="B360" s="46"/>
      <c r="C360" s="46" t="str">
        <f>IFERROR(VLOOKUP(B360,likelihood!A:F,6,FALSE),"")</f>
        <v/>
      </c>
      <c r="D360" s="46" t="str">
        <f>IFERROR(VLOOKUP(B360,Impact_Assessment!A:L,6,FALSE),"")</f>
        <v/>
      </c>
      <c r="E360" s="46" t="str">
        <f t="shared" si="12"/>
        <v/>
      </c>
      <c r="F360" s="18" t="str">
        <f t="shared" si="13"/>
        <v/>
      </c>
      <c r="G360" s="17"/>
      <c r="H360" s="46"/>
      <c r="I360" s="17"/>
    </row>
    <row r="361" spans="1:9" x14ac:dyDescent="0.25">
      <c r="A361" s="46"/>
      <c r="B361" s="46"/>
      <c r="C361" s="46" t="str">
        <f>IFERROR(VLOOKUP(B361,likelihood!A:F,6,FALSE),"")</f>
        <v/>
      </c>
      <c r="D361" s="46" t="str">
        <f>IFERROR(VLOOKUP(B361,Impact_Assessment!A:L,6,FALSE),"")</f>
        <v/>
      </c>
      <c r="E361" s="46" t="str">
        <f t="shared" si="12"/>
        <v/>
      </c>
      <c r="F361" s="18" t="str">
        <f t="shared" si="13"/>
        <v/>
      </c>
      <c r="G361" s="17"/>
      <c r="H361" s="46"/>
      <c r="I361" s="17"/>
    </row>
    <row r="362" spans="1:9" x14ac:dyDescent="0.25">
      <c r="A362" s="46"/>
      <c r="B362" s="46"/>
      <c r="C362" s="46" t="str">
        <f>IFERROR(VLOOKUP(B362,likelihood!A:F,6,FALSE),"")</f>
        <v/>
      </c>
      <c r="D362" s="46" t="str">
        <f>IFERROR(VLOOKUP(B362,Impact_Assessment!A:L,6,FALSE),"")</f>
        <v/>
      </c>
      <c r="E362" s="46" t="str">
        <f t="shared" si="12"/>
        <v/>
      </c>
      <c r="F362" s="18" t="str">
        <f t="shared" si="13"/>
        <v/>
      </c>
      <c r="G362" s="17"/>
      <c r="H362" s="46"/>
      <c r="I362" s="17"/>
    </row>
    <row r="363" spans="1:9" x14ac:dyDescent="0.25">
      <c r="A363" s="46"/>
      <c r="B363" s="46"/>
      <c r="C363" s="46" t="str">
        <f>IFERROR(VLOOKUP(B363,likelihood!A:F,6,FALSE),"")</f>
        <v/>
      </c>
      <c r="D363" s="46" t="str">
        <f>IFERROR(VLOOKUP(B363,Impact_Assessment!A:L,6,FALSE),"")</f>
        <v/>
      </c>
      <c r="E363" s="46" t="str">
        <f t="shared" si="12"/>
        <v/>
      </c>
      <c r="F363" s="18" t="str">
        <f t="shared" si="13"/>
        <v/>
      </c>
      <c r="G363" s="17"/>
      <c r="H363" s="46"/>
      <c r="I363" s="17"/>
    </row>
    <row r="364" spans="1:9" x14ac:dyDescent="0.25">
      <c r="A364" s="46"/>
      <c r="B364" s="46"/>
      <c r="C364" s="46" t="str">
        <f>IFERROR(VLOOKUP(B364,likelihood!A:F,6,FALSE),"")</f>
        <v/>
      </c>
      <c r="D364" s="46" t="str">
        <f>IFERROR(VLOOKUP(B364,Impact_Assessment!A:L,6,FALSE),"")</f>
        <v/>
      </c>
      <c r="E364" s="46" t="str">
        <f t="shared" si="12"/>
        <v/>
      </c>
      <c r="F364" s="18" t="str">
        <f t="shared" si="13"/>
        <v/>
      </c>
      <c r="G364" s="17"/>
      <c r="H364" s="46"/>
      <c r="I364" s="17"/>
    </row>
    <row r="365" spans="1:9" x14ac:dyDescent="0.25">
      <c r="A365" s="46"/>
      <c r="B365" s="46"/>
      <c r="C365" s="46" t="str">
        <f>IFERROR(VLOOKUP(B365,likelihood!A:F,6,FALSE),"")</f>
        <v/>
      </c>
      <c r="D365" s="46" t="str">
        <f>IFERROR(VLOOKUP(B365,Impact_Assessment!A:L,6,FALSE),"")</f>
        <v/>
      </c>
      <c r="E365" s="46" t="str">
        <f t="shared" si="12"/>
        <v/>
      </c>
      <c r="F365" s="18" t="str">
        <f t="shared" si="13"/>
        <v/>
      </c>
      <c r="G365" s="17"/>
      <c r="H365" s="46"/>
      <c r="I365" s="17"/>
    </row>
    <row r="366" spans="1:9" x14ac:dyDescent="0.25">
      <c r="A366" s="46"/>
      <c r="B366" s="46"/>
      <c r="C366" s="46" t="str">
        <f>IFERROR(VLOOKUP(B366,likelihood!A:F,6,FALSE),"")</f>
        <v/>
      </c>
      <c r="D366" s="46" t="str">
        <f>IFERROR(VLOOKUP(B366,Impact_Assessment!A:L,6,FALSE),"")</f>
        <v/>
      </c>
      <c r="E366" s="46" t="str">
        <f t="shared" si="12"/>
        <v/>
      </c>
      <c r="F366" s="18" t="str">
        <f t="shared" si="13"/>
        <v/>
      </c>
      <c r="G366" s="17"/>
      <c r="H366" s="46"/>
      <c r="I366" s="17"/>
    </row>
    <row r="367" spans="1:9" x14ac:dyDescent="0.25">
      <c r="A367" s="46"/>
      <c r="B367" s="46"/>
      <c r="C367" s="46" t="str">
        <f>IFERROR(VLOOKUP(B367,likelihood!A:F,6,FALSE),"")</f>
        <v/>
      </c>
      <c r="D367" s="46" t="str">
        <f>IFERROR(VLOOKUP(B367,Impact_Assessment!A:L,6,FALSE),"")</f>
        <v/>
      </c>
      <c r="E367" s="46" t="str">
        <f t="shared" si="12"/>
        <v/>
      </c>
      <c r="F367" s="18" t="str">
        <f t="shared" si="13"/>
        <v/>
      </c>
      <c r="G367" s="17"/>
      <c r="H367" s="46"/>
      <c r="I367" s="17"/>
    </row>
    <row r="368" spans="1:9" x14ac:dyDescent="0.25">
      <c r="A368" s="46"/>
      <c r="B368" s="46"/>
      <c r="C368" s="46" t="str">
        <f>IFERROR(VLOOKUP(B368,likelihood!A:F,6,FALSE),"")</f>
        <v/>
      </c>
      <c r="D368" s="46" t="str">
        <f>IFERROR(VLOOKUP(B368,Impact_Assessment!A:L,6,FALSE),"")</f>
        <v/>
      </c>
      <c r="E368" s="46" t="str">
        <f t="shared" si="12"/>
        <v/>
      </c>
      <c r="F368" s="18" t="str">
        <f t="shared" si="13"/>
        <v/>
      </c>
      <c r="G368" s="17"/>
      <c r="H368" s="46"/>
      <c r="I368" s="17"/>
    </row>
    <row r="369" spans="1:9" x14ac:dyDescent="0.25">
      <c r="A369" s="46"/>
      <c r="B369" s="46"/>
      <c r="C369" s="46" t="str">
        <f>IFERROR(VLOOKUP(B369,likelihood!A:F,6,FALSE),"")</f>
        <v/>
      </c>
      <c r="D369" s="46" t="str">
        <f>IFERROR(VLOOKUP(B369,Impact_Assessment!A:L,6,FALSE),"")</f>
        <v/>
      </c>
      <c r="E369" s="46" t="str">
        <f t="shared" si="12"/>
        <v/>
      </c>
      <c r="F369" s="18" t="str">
        <f t="shared" si="13"/>
        <v/>
      </c>
      <c r="G369" s="17"/>
      <c r="H369" s="46"/>
      <c r="I369" s="17"/>
    </row>
    <row r="370" spans="1:9" x14ac:dyDescent="0.25">
      <c r="A370" s="46"/>
      <c r="B370" s="46"/>
      <c r="C370" s="46" t="str">
        <f>IFERROR(VLOOKUP(B370,likelihood!A:F,6,FALSE),"")</f>
        <v/>
      </c>
      <c r="D370" s="46" t="str">
        <f>IFERROR(VLOOKUP(B370,Impact_Assessment!A:L,6,FALSE),"")</f>
        <v/>
      </c>
      <c r="E370" s="46" t="str">
        <f t="shared" si="12"/>
        <v/>
      </c>
      <c r="F370" s="18" t="str">
        <f t="shared" si="13"/>
        <v/>
      </c>
      <c r="G370" s="17"/>
      <c r="H370" s="46"/>
      <c r="I370" s="17"/>
    </row>
    <row r="371" spans="1:9" x14ac:dyDescent="0.25">
      <c r="A371" s="46"/>
      <c r="B371" s="46"/>
      <c r="C371" s="46" t="str">
        <f>IFERROR(VLOOKUP(B371,likelihood!A:F,6,FALSE),"")</f>
        <v/>
      </c>
      <c r="D371" s="46" t="str">
        <f>IFERROR(VLOOKUP(B371,Impact_Assessment!A:L,6,FALSE),"")</f>
        <v/>
      </c>
      <c r="E371" s="46" t="str">
        <f t="shared" si="12"/>
        <v/>
      </c>
      <c r="F371" s="18" t="str">
        <f t="shared" si="13"/>
        <v/>
      </c>
      <c r="G371" s="17"/>
      <c r="H371" s="46"/>
      <c r="I371" s="17"/>
    </row>
    <row r="372" spans="1:9" x14ac:dyDescent="0.25">
      <c r="A372" s="46"/>
      <c r="B372" s="46"/>
      <c r="C372" s="46" t="str">
        <f>IFERROR(VLOOKUP(B372,likelihood!A:F,6,FALSE),"")</f>
        <v/>
      </c>
      <c r="D372" s="46" t="str">
        <f>IFERROR(VLOOKUP(B372,Impact_Assessment!A:L,6,FALSE),"")</f>
        <v/>
      </c>
      <c r="E372" s="46" t="str">
        <f t="shared" si="12"/>
        <v/>
      </c>
      <c r="F372" s="18" t="str">
        <f t="shared" si="13"/>
        <v/>
      </c>
      <c r="G372" s="17"/>
      <c r="H372" s="46"/>
      <c r="I372" s="17"/>
    </row>
    <row r="373" spans="1:9" x14ac:dyDescent="0.25">
      <c r="A373" s="46"/>
      <c r="B373" s="46"/>
      <c r="C373" s="46" t="str">
        <f>IFERROR(VLOOKUP(B373,likelihood!A:F,6,FALSE),"")</f>
        <v/>
      </c>
      <c r="D373" s="46" t="str">
        <f>IFERROR(VLOOKUP(B373,Impact_Assessment!A:L,6,FALSE),"")</f>
        <v/>
      </c>
      <c r="E373" s="46" t="str">
        <f t="shared" si="12"/>
        <v/>
      </c>
      <c r="F373" s="18" t="str">
        <f t="shared" si="13"/>
        <v/>
      </c>
      <c r="G373" s="17"/>
      <c r="H373" s="46"/>
      <c r="I373" s="17"/>
    </row>
    <row r="374" spans="1:9" x14ac:dyDescent="0.25">
      <c r="A374" s="46"/>
      <c r="B374" s="46"/>
      <c r="C374" s="46" t="str">
        <f>IFERROR(VLOOKUP(B374,likelihood!A:F,6,FALSE),"")</f>
        <v/>
      </c>
      <c r="D374" s="46" t="str">
        <f>IFERROR(VLOOKUP(B374,Impact_Assessment!A:L,6,FALSE),"")</f>
        <v/>
      </c>
      <c r="E374" s="46" t="str">
        <f t="shared" si="12"/>
        <v/>
      </c>
      <c r="F374" s="18" t="str">
        <f t="shared" si="13"/>
        <v/>
      </c>
      <c r="G374" s="17"/>
      <c r="H374" s="46"/>
      <c r="I374" s="17"/>
    </row>
    <row r="375" spans="1:9" x14ac:dyDescent="0.25">
      <c r="A375" s="46"/>
      <c r="B375" s="46"/>
      <c r="C375" s="46" t="str">
        <f>IFERROR(VLOOKUP(B375,likelihood!A:F,6,FALSE),"")</f>
        <v/>
      </c>
      <c r="D375" s="46" t="str">
        <f>IFERROR(VLOOKUP(B375,Impact_Assessment!A:L,6,FALSE),"")</f>
        <v/>
      </c>
      <c r="E375" s="46" t="str">
        <f t="shared" si="12"/>
        <v/>
      </c>
      <c r="F375" s="18" t="str">
        <f t="shared" si="13"/>
        <v/>
      </c>
      <c r="G375" s="17"/>
      <c r="H375" s="46"/>
      <c r="I375" s="17"/>
    </row>
    <row r="376" spans="1:9" x14ac:dyDescent="0.25">
      <c r="A376" s="46"/>
      <c r="B376" s="46"/>
      <c r="C376" s="46" t="str">
        <f>IFERROR(VLOOKUP(B376,likelihood!A:F,6,FALSE),"")</f>
        <v/>
      </c>
      <c r="D376" s="46" t="str">
        <f>IFERROR(VLOOKUP(B376,Impact_Assessment!A:L,6,FALSE),"")</f>
        <v/>
      </c>
      <c r="E376" s="46" t="str">
        <f t="shared" si="12"/>
        <v/>
      </c>
      <c r="F376" s="18" t="str">
        <f t="shared" si="13"/>
        <v/>
      </c>
      <c r="G376" s="17"/>
      <c r="H376" s="46"/>
      <c r="I376" s="17"/>
    </row>
    <row r="377" spans="1:9" x14ac:dyDescent="0.25">
      <c r="A377" s="46"/>
      <c r="B377" s="46"/>
      <c r="C377" s="46" t="str">
        <f>IFERROR(VLOOKUP(B377,likelihood!A:F,6,FALSE),"")</f>
        <v/>
      </c>
      <c r="D377" s="46" t="str">
        <f>IFERROR(VLOOKUP(B377,Impact_Assessment!A:L,6,FALSE),"")</f>
        <v/>
      </c>
      <c r="E377" s="46" t="str">
        <f t="shared" si="12"/>
        <v/>
      </c>
      <c r="F377" s="18" t="str">
        <f t="shared" si="13"/>
        <v/>
      </c>
      <c r="G377" s="17"/>
      <c r="H377" s="46"/>
      <c r="I377" s="17"/>
    </row>
    <row r="378" spans="1:9" x14ac:dyDescent="0.25">
      <c r="A378" s="46"/>
      <c r="B378" s="46"/>
      <c r="C378" s="46" t="str">
        <f>IFERROR(VLOOKUP(B378,likelihood!A:F,6,FALSE),"")</f>
        <v/>
      </c>
      <c r="D378" s="46" t="str">
        <f>IFERROR(VLOOKUP(B378,Impact_Assessment!A:L,6,FALSE),"")</f>
        <v/>
      </c>
      <c r="E378" s="46" t="str">
        <f t="shared" si="12"/>
        <v/>
      </c>
      <c r="F378" s="18" t="str">
        <f t="shared" si="13"/>
        <v/>
      </c>
      <c r="G378" s="17"/>
      <c r="H378" s="46"/>
      <c r="I378" s="17"/>
    </row>
    <row r="379" spans="1:9" x14ac:dyDescent="0.25">
      <c r="A379" s="46"/>
      <c r="B379" s="46"/>
      <c r="C379" s="46" t="str">
        <f>IFERROR(VLOOKUP(B379,likelihood!A:F,6,FALSE),"")</f>
        <v/>
      </c>
      <c r="D379" s="46" t="str">
        <f>IFERROR(VLOOKUP(B379,Impact_Assessment!A:L,6,FALSE),"")</f>
        <v/>
      </c>
      <c r="E379" s="46" t="str">
        <f t="shared" si="12"/>
        <v/>
      </c>
      <c r="F379" s="18" t="str">
        <f t="shared" si="13"/>
        <v/>
      </c>
      <c r="G379" s="17"/>
      <c r="H379" s="46"/>
      <c r="I379" s="17"/>
    </row>
    <row r="380" spans="1:9" x14ac:dyDescent="0.25">
      <c r="A380" s="46"/>
      <c r="B380" s="46"/>
      <c r="C380" s="46" t="str">
        <f>IFERROR(VLOOKUP(B380,likelihood!A:F,6,FALSE),"")</f>
        <v/>
      </c>
      <c r="D380" s="46" t="str">
        <f>IFERROR(VLOOKUP(B380,Impact_Assessment!A:L,6,FALSE),"")</f>
        <v/>
      </c>
      <c r="E380" s="46" t="str">
        <f t="shared" si="12"/>
        <v/>
      </c>
      <c r="F380" s="18" t="str">
        <f t="shared" si="13"/>
        <v/>
      </c>
      <c r="G380" s="17"/>
      <c r="H380" s="46"/>
      <c r="I380" s="17"/>
    </row>
    <row r="381" spans="1:9" x14ac:dyDescent="0.25">
      <c r="A381" s="46"/>
      <c r="B381" s="46"/>
      <c r="C381" s="46" t="str">
        <f>IFERROR(VLOOKUP(B381,likelihood!A:F,6,FALSE),"")</f>
        <v/>
      </c>
      <c r="D381" s="46" t="str">
        <f>IFERROR(VLOOKUP(B381,Impact_Assessment!A:L,6,FALSE),"")</f>
        <v/>
      </c>
      <c r="E381" s="46" t="str">
        <f t="shared" si="12"/>
        <v/>
      </c>
      <c r="F381" s="18" t="str">
        <f t="shared" si="13"/>
        <v/>
      </c>
      <c r="G381" s="17"/>
      <c r="H381" s="46"/>
      <c r="I381" s="17"/>
    </row>
    <row r="382" spans="1:9" x14ac:dyDescent="0.25">
      <c r="A382" s="46"/>
      <c r="B382" s="46"/>
      <c r="C382" s="46" t="str">
        <f>IFERROR(VLOOKUP(B382,likelihood!A:F,6,FALSE),"")</f>
        <v/>
      </c>
      <c r="D382" s="46" t="str">
        <f>IFERROR(VLOOKUP(B382,Impact_Assessment!A:L,6,FALSE),"")</f>
        <v/>
      </c>
      <c r="E382" s="46" t="str">
        <f t="shared" si="12"/>
        <v/>
      </c>
      <c r="F382" s="18" t="str">
        <f t="shared" si="13"/>
        <v/>
      </c>
      <c r="G382" s="17"/>
      <c r="H382" s="46"/>
      <c r="I382" s="17"/>
    </row>
    <row r="383" spans="1:9" x14ac:dyDescent="0.25">
      <c r="A383" s="46"/>
      <c r="B383" s="46"/>
      <c r="C383" s="46" t="str">
        <f>IFERROR(VLOOKUP(B383,likelihood!A:F,6,FALSE),"")</f>
        <v/>
      </c>
      <c r="D383" s="46" t="str">
        <f>IFERROR(VLOOKUP(B383,Impact_Assessment!A:L,6,FALSE),"")</f>
        <v/>
      </c>
      <c r="E383" s="46" t="str">
        <f t="shared" si="12"/>
        <v/>
      </c>
      <c r="F383" s="18" t="str">
        <f t="shared" si="13"/>
        <v/>
      </c>
      <c r="G383" s="17"/>
      <c r="H383" s="46"/>
      <c r="I383" s="17"/>
    </row>
    <row r="384" spans="1:9" x14ac:dyDescent="0.25">
      <c r="A384" s="46"/>
      <c r="B384" s="46"/>
      <c r="C384" s="46" t="str">
        <f>IFERROR(VLOOKUP(B384,likelihood!A:F,6,FALSE),"")</f>
        <v/>
      </c>
      <c r="D384" s="46" t="str">
        <f>IFERROR(VLOOKUP(B384,Impact_Assessment!A:L,6,FALSE),"")</f>
        <v/>
      </c>
      <c r="E384" s="46" t="str">
        <f t="shared" si="12"/>
        <v/>
      </c>
      <c r="F384" s="18" t="str">
        <f t="shared" si="13"/>
        <v/>
      </c>
      <c r="G384" s="17"/>
      <c r="H384" s="46"/>
      <c r="I384" s="17"/>
    </row>
    <row r="385" spans="1:9" x14ac:dyDescent="0.25">
      <c r="A385" s="46"/>
      <c r="B385" s="46"/>
      <c r="C385" s="46" t="str">
        <f>IFERROR(VLOOKUP(B385,likelihood!A:F,6,FALSE),"")</f>
        <v/>
      </c>
      <c r="D385" s="46" t="str">
        <f>IFERROR(VLOOKUP(B385,Impact_Assessment!A:L,6,FALSE),"")</f>
        <v/>
      </c>
      <c r="E385" s="46" t="str">
        <f t="shared" si="12"/>
        <v/>
      </c>
      <c r="F385" s="18" t="str">
        <f t="shared" si="13"/>
        <v/>
      </c>
      <c r="G385" s="17"/>
      <c r="H385" s="46"/>
      <c r="I385" s="17"/>
    </row>
    <row r="386" spans="1:9" x14ac:dyDescent="0.25">
      <c r="A386" s="46"/>
      <c r="B386" s="46"/>
      <c r="C386" s="46" t="str">
        <f>IFERROR(VLOOKUP(B386,likelihood!A:F,6,FALSE),"")</f>
        <v/>
      </c>
      <c r="D386" s="46" t="str">
        <f>IFERROR(VLOOKUP(B386,Impact_Assessment!A:L,6,FALSE),"")</f>
        <v/>
      </c>
      <c r="E386" s="46" t="str">
        <f t="shared" ref="E386:E449" si="14">IF(C386&lt;&gt;"",C386*D386,"")</f>
        <v/>
      </c>
      <c r="F386" s="18" t="str">
        <f t="shared" si="13"/>
        <v/>
      </c>
      <c r="G386" s="17"/>
      <c r="H386" s="46"/>
      <c r="I386" s="17"/>
    </row>
    <row r="387" spans="1:9" x14ac:dyDescent="0.25">
      <c r="A387" s="46"/>
      <c r="B387" s="46"/>
      <c r="C387" s="46" t="str">
        <f>IFERROR(VLOOKUP(B387,likelihood!A:F,6,FALSE),"")</f>
        <v/>
      </c>
      <c r="D387" s="46" t="str">
        <f>IFERROR(VLOOKUP(B387,Impact_Assessment!A:L,6,FALSE),"")</f>
        <v/>
      </c>
      <c r="E387" s="46" t="str">
        <f t="shared" si="14"/>
        <v/>
      </c>
      <c r="F387" s="18" t="str">
        <f t="shared" ref="F387:F450" si="15">IF(E387="","",
 IF(E387&lt;=5,"Low",IF(E387&lt;=10,"Medium",
 IF(E387&lt;=15,"High","Critical"))))</f>
        <v/>
      </c>
      <c r="G387" s="17"/>
      <c r="H387" s="46"/>
      <c r="I387" s="17"/>
    </row>
    <row r="388" spans="1:9" x14ac:dyDescent="0.25">
      <c r="A388" s="46"/>
      <c r="B388" s="46"/>
      <c r="C388" s="46" t="str">
        <f>IFERROR(VLOOKUP(B388,likelihood!A:F,6,FALSE),"")</f>
        <v/>
      </c>
      <c r="D388" s="46" t="str">
        <f>IFERROR(VLOOKUP(B388,Impact_Assessment!A:L,6,FALSE),"")</f>
        <v/>
      </c>
      <c r="E388" s="46" t="str">
        <f t="shared" si="14"/>
        <v/>
      </c>
      <c r="F388" s="18" t="str">
        <f t="shared" si="15"/>
        <v/>
      </c>
      <c r="G388" s="17"/>
      <c r="H388" s="46"/>
      <c r="I388" s="17"/>
    </row>
    <row r="389" spans="1:9" x14ac:dyDescent="0.25">
      <c r="A389" s="46"/>
      <c r="B389" s="46"/>
      <c r="C389" s="46" t="str">
        <f>IFERROR(VLOOKUP(B389,likelihood!A:F,6,FALSE),"")</f>
        <v/>
      </c>
      <c r="D389" s="46" t="str">
        <f>IFERROR(VLOOKUP(B389,Impact_Assessment!A:L,6,FALSE),"")</f>
        <v/>
      </c>
      <c r="E389" s="46" t="str">
        <f t="shared" si="14"/>
        <v/>
      </c>
      <c r="F389" s="18" t="str">
        <f t="shared" si="15"/>
        <v/>
      </c>
      <c r="G389" s="17"/>
      <c r="H389" s="46"/>
      <c r="I389" s="17"/>
    </row>
    <row r="390" spans="1:9" x14ac:dyDescent="0.25">
      <c r="A390" s="46"/>
      <c r="B390" s="46"/>
      <c r="C390" s="46" t="str">
        <f>IFERROR(VLOOKUP(B390,likelihood!A:F,6,FALSE),"")</f>
        <v/>
      </c>
      <c r="D390" s="46" t="str">
        <f>IFERROR(VLOOKUP(B390,Impact_Assessment!A:L,6,FALSE),"")</f>
        <v/>
      </c>
      <c r="E390" s="46" t="str">
        <f t="shared" si="14"/>
        <v/>
      </c>
      <c r="F390" s="18" t="str">
        <f t="shared" si="15"/>
        <v/>
      </c>
      <c r="G390" s="17"/>
      <c r="H390" s="46"/>
      <c r="I390" s="17"/>
    </row>
    <row r="391" spans="1:9" x14ac:dyDescent="0.25">
      <c r="A391" s="46"/>
      <c r="B391" s="46"/>
      <c r="C391" s="46" t="str">
        <f>IFERROR(VLOOKUP(B391,likelihood!A:F,6,FALSE),"")</f>
        <v/>
      </c>
      <c r="D391" s="46" t="str">
        <f>IFERROR(VLOOKUP(B391,Impact_Assessment!A:L,6,FALSE),"")</f>
        <v/>
      </c>
      <c r="E391" s="46" t="str">
        <f t="shared" si="14"/>
        <v/>
      </c>
      <c r="F391" s="18" t="str">
        <f t="shared" si="15"/>
        <v/>
      </c>
      <c r="G391" s="17"/>
      <c r="H391" s="46"/>
      <c r="I391" s="17"/>
    </row>
    <row r="392" spans="1:9" x14ac:dyDescent="0.25">
      <c r="A392" s="46"/>
      <c r="B392" s="46"/>
      <c r="C392" s="46" t="str">
        <f>IFERROR(VLOOKUP(B392,likelihood!A:F,6,FALSE),"")</f>
        <v/>
      </c>
      <c r="D392" s="46" t="str">
        <f>IFERROR(VLOOKUP(B392,Impact_Assessment!A:L,6,FALSE),"")</f>
        <v/>
      </c>
      <c r="E392" s="46" t="str">
        <f t="shared" si="14"/>
        <v/>
      </c>
      <c r="F392" s="18" t="str">
        <f t="shared" si="15"/>
        <v/>
      </c>
      <c r="G392" s="17"/>
      <c r="H392" s="46"/>
      <c r="I392" s="17"/>
    </row>
    <row r="393" spans="1:9" x14ac:dyDescent="0.25">
      <c r="A393" s="46"/>
      <c r="B393" s="46"/>
      <c r="C393" s="46" t="str">
        <f>IFERROR(VLOOKUP(B393,likelihood!A:F,6,FALSE),"")</f>
        <v/>
      </c>
      <c r="D393" s="46" t="str">
        <f>IFERROR(VLOOKUP(B393,Impact_Assessment!A:L,6,FALSE),"")</f>
        <v/>
      </c>
      <c r="E393" s="46" t="str">
        <f t="shared" si="14"/>
        <v/>
      </c>
      <c r="F393" s="18" t="str">
        <f t="shared" si="15"/>
        <v/>
      </c>
      <c r="G393" s="17"/>
      <c r="H393" s="46"/>
      <c r="I393" s="17"/>
    </row>
    <row r="394" spans="1:9" x14ac:dyDescent="0.25">
      <c r="A394" s="46"/>
      <c r="B394" s="46"/>
      <c r="C394" s="46" t="str">
        <f>IFERROR(VLOOKUP(B394,likelihood!A:F,6,FALSE),"")</f>
        <v/>
      </c>
      <c r="D394" s="46" t="str">
        <f>IFERROR(VLOOKUP(B394,Impact_Assessment!A:L,6,FALSE),"")</f>
        <v/>
      </c>
      <c r="E394" s="46" t="str">
        <f t="shared" si="14"/>
        <v/>
      </c>
      <c r="F394" s="18" t="str">
        <f t="shared" si="15"/>
        <v/>
      </c>
      <c r="G394" s="17"/>
      <c r="H394" s="46"/>
      <c r="I394" s="17"/>
    </row>
    <row r="395" spans="1:9" x14ac:dyDescent="0.25">
      <c r="A395" s="46"/>
      <c r="B395" s="46"/>
      <c r="C395" s="46" t="str">
        <f>IFERROR(VLOOKUP(B395,likelihood!A:F,6,FALSE),"")</f>
        <v/>
      </c>
      <c r="D395" s="46" t="str">
        <f>IFERROR(VLOOKUP(B395,Impact_Assessment!A:L,6,FALSE),"")</f>
        <v/>
      </c>
      <c r="E395" s="46" t="str">
        <f t="shared" si="14"/>
        <v/>
      </c>
      <c r="F395" s="18" t="str">
        <f t="shared" si="15"/>
        <v/>
      </c>
      <c r="G395" s="17"/>
      <c r="H395" s="46"/>
      <c r="I395" s="17"/>
    </row>
    <row r="396" spans="1:9" x14ac:dyDescent="0.25">
      <c r="A396" s="46"/>
      <c r="B396" s="46"/>
      <c r="C396" s="46" t="str">
        <f>IFERROR(VLOOKUP(B396,likelihood!A:F,6,FALSE),"")</f>
        <v/>
      </c>
      <c r="D396" s="46" t="str">
        <f>IFERROR(VLOOKUP(B396,Impact_Assessment!A:L,6,FALSE),"")</f>
        <v/>
      </c>
      <c r="E396" s="46" t="str">
        <f t="shared" si="14"/>
        <v/>
      </c>
      <c r="F396" s="18" t="str">
        <f t="shared" si="15"/>
        <v/>
      </c>
      <c r="G396" s="17"/>
      <c r="H396" s="46"/>
      <c r="I396" s="17"/>
    </row>
    <row r="397" spans="1:9" x14ac:dyDescent="0.25">
      <c r="A397" s="46"/>
      <c r="B397" s="46"/>
      <c r="C397" s="46" t="str">
        <f>IFERROR(VLOOKUP(B397,likelihood!A:F,6,FALSE),"")</f>
        <v/>
      </c>
      <c r="D397" s="46" t="str">
        <f>IFERROR(VLOOKUP(B397,Impact_Assessment!A:L,6,FALSE),"")</f>
        <v/>
      </c>
      <c r="E397" s="46" t="str">
        <f t="shared" si="14"/>
        <v/>
      </c>
      <c r="F397" s="18" t="str">
        <f t="shared" si="15"/>
        <v/>
      </c>
      <c r="G397" s="17"/>
      <c r="H397" s="46"/>
      <c r="I397" s="17"/>
    </row>
    <row r="398" spans="1:9" x14ac:dyDescent="0.25">
      <c r="A398" s="46"/>
      <c r="B398" s="46"/>
      <c r="C398" s="46" t="str">
        <f>IFERROR(VLOOKUP(B398,likelihood!A:F,6,FALSE),"")</f>
        <v/>
      </c>
      <c r="D398" s="46" t="str">
        <f>IFERROR(VLOOKUP(B398,Impact_Assessment!A:L,6,FALSE),"")</f>
        <v/>
      </c>
      <c r="E398" s="46" t="str">
        <f t="shared" si="14"/>
        <v/>
      </c>
      <c r="F398" s="18" t="str">
        <f t="shared" si="15"/>
        <v/>
      </c>
      <c r="G398" s="17"/>
      <c r="H398" s="46"/>
      <c r="I398" s="17"/>
    </row>
    <row r="399" spans="1:9" x14ac:dyDescent="0.25">
      <c r="A399" s="46"/>
      <c r="B399" s="46"/>
      <c r="C399" s="46" t="str">
        <f>IFERROR(VLOOKUP(B399,likelihood!A:F,6,FALSE),"")</f>
        <v/>
      </c>
      <c r="D399" s="46" t="str">
        <f>IFERROR(VLOOKUP(B399,Impact_Assessment!A:L,6,FALSE),"")</f>
        <v/>
      </c>
      <c r="E399" s="46" t="str">
        <f t="shared" si="14"/>
        <v/>
      </c>
      <c r="F399" s="18" t="str">
        <f t="shared" si="15"/>
        <v/>
      </c>
      <c r="G399" s="17"/>
      <c r="H399" s="46"/>
      <c r="I399" s="17"/>
    </row>
    <row r="400" spans="1:9" x14ac:dyDescent="0.25">
      <c r="A400" s="46"/>
      <c r="B400" s="46"/>
      <c r="C400" s="46" t="str">
        <f>IFERROR(VLOOKUP(B400,likelihood!A:F,6,FALSE),"")</f>
        <v/>
      </c>
      <c r="D400" s="46" t="str">
        <f>IFERROR(VLOOKUP(B400,Impact_Assessment!A:L,6,FALSE),"")</f>
        <v/>
      </c>
      <c r="E400" s="46" t="str">
        <f t="shared" si="14"/>
        <v/>
      </c>
      <c r="F400" s="18" t="str">
        <f t="shared" si="15"/>
        <v/>
      </c>
      <c r="G400" s="17"/>
      <c r="H400" s="46"/>
      <c r="I400" s="17"/>
    </row>
    <row r="401" spans="1:9" x14ac:dyDescent="0.25">
      <c r="A401" s="46"/>
      <c r="B401" s="46"/>
      <c r="C401" s="46" t="str">
        <f>IFERROR(VLOOKUP(B401,likelihood!A:F,6,FALSE),"")</f>
        <v/>
      </c>
      <c r="D401" s="46" t="str">
        <f>IFERROR(VLOOKUP(B401,Impact_Assessment!A:L,6,FALSE),"")</f>
        <v/>
      </c>
      <c r="E401" s="46" t="str">
        <f t="shared" si="14"/>
        <v/>
      </c>
      <c r="F401" s="18" t="str">
        <f t="shared" si="15"/>
        <v/>
      </c>
      <c r="G401" s="17"/>
      <c r="H401" s="46"/>
      <c r="I401" s="17"/>
    </row>
    <row r="402" spans="1:9" x14ac:dyDescent="0.25">
      <c r="A402" s="46"/>
      <c r="B402" s="46"/>
      <c r="C402" s="46" t="str">
        <f>IFERROR(VLOOKUP(B402,likelihood!A:F,6,FALSE),"")</f>
        <v/>
      </c>
      <c r="D402" s="46" t="str">
        <f>IFERROR(VLOOKUP(B402,Impact_Assessment!A:L,6,FALSE),"")</f>
        <v/>
      </c>
      <c r="E402" s="46" t="str">
        <f t="shared" si="14"/>
        <v/>
      </c>
      <c r="F402" s="18" t="str">
        <f t="shared" si="15"/>
        <v/>
      </c>
      <c r="G402" s="17"/>
      <c r="H402" s="46"/>
      <c r="I402" s="17"/>
    </row>
    <row r="403" spans="1:9" x14ac:dyDescent="0.25">
      <c r="A403" s="46"/>
      <c r="B403" s="46"/>
      <c r="C403" s="46" t="str">
        <f>IFERROR(VLOOKUP(B403,likelihood!A:F,6,FALSE),"")</f>
        <v/>
      </c>
      <c r="D403" s="46" t="str">
        <f>IFERROR(VLOOKUP(B403,Impact_Assessment!A:L,6,FALSE),"")</f>
        <v/>
      </c>
      <c r="E403" s="46" t="str">
        <f t="shared" si="14"/>
        <v/>
      </c>
      <c r="F403" s="18" t="str">
        <f t="shared" si="15"/>
        <v/>
      </c>
      <c r="G403" s="17"/>
      <c r="H403" s="46"/>
      <c r="I403" s="17"/>
    </row>
    <row r="404" spans="1:9" x14ac:dyDescent="0.25">
      <c r="A404" s="46"/>
      <c r="B404" s="46"/>
      <c r="C404" s="46" t="str">
        <f>IFERROR(VLOOKUP(B404,likelihood!A:F,6,FALSE),"")</f>
        <v/>
      </c>
      <c r="D404" s="46" t="str">
        <f>IFERROR(VLOOKUP(B404,Impact_Assessment!A:L,6,FALSE),"")</f>
        <v/>
      </c>
      <c r="E404" s="46" t="str">
        <f t="shared" si="14"/>
        <v/>
      </c>
      <c r="F404" s="18" t="str">
        <f t="shared" si="15"/>
        <v/>
      </c>
      <c r="G404" s="17"/>
      <c r="H404" s="46"/>
      <c r="I404" s="17"/>
    </row>
    <row r="405" spans="1:9" x14ac:dyDescent="0.25">
      <c r="A405" s="46"/>
      <c r="B405" s="46"/>
      <c r="C405" s="46" t="str">
        <f>IFERROR(VLOOKUP(B405,likelihood!A:F,6,FALSE),"")</f>
        <v/>
      </c>
      <c r="D405" s="46" t="str">
        <f>IFERROR(VLOOKUP(B405,Impact_Assessment!A:L,6,FALSE),"")</f>
        <v/>
      </c>
      <c r="E405" s="46" t="str">
        <f t="shared" si="14"/>
        <v/>
      </c>
      <c r="F405" s="18" t="str">
        <f t="shared" si="15"/>
        <v/>
      </c>
      <c r="G405" s="17"/>
      <c r="H405" s="46"/>
      <c r="I405" s="17"/>
    </row>
    <row r="406" spans="1:9" x14ac:dyDescent="0.25">
      <c r="A406" s="46"/>
      <c r="B406" s="46"/>
      <c r="C406" s="46" t="str">
        <f>IFERROR(VLOOKUP(B406,likelihood!A:F,6,FALSE),"")</f>
        <v/>
      </c>
      <c r="D406" s="46" t="str">
        <f>IFERROR(VLOOKUP(B406,Impact_Assessment!A:L,6,FALSE),"")</f>
        <v/>
      </c>
      <c r="E406" s="46" t="str">
        <f t="shared" si="14"/>
        <v/>
      </c>
      <c r="F406" s="18" t="str">
        <f t="shared" si="15"/>
        <v/>
      </c>
      <c r="G406" s="17"/>
      <c r="H406" s="46"/>
      <c r="I406" s="17"/>
    </row>
    <row r="407" spans="1:9" x14ac:dyDescent="0.25">
      <c r="A407" s="46"/>
      <c r="B407" s="46"/>
      <c r="C407" s="46" t="str">
        <f>IFERROR(VLOOKUP(B407,likelihood!A:F,6,FALSE),"")</f>
        <v/>
      </c>
      <c r="D407" s="46" t="str">
        <f>IFERROR(VLOOKUP(B407,Impact_Assessment!A:L,6,FALSE),"")</f>
        <v/>
      </c>
      <c r="E407" s="46" t="str">
        <f t="shared" si="14"/>
        <v/>
      </c>
      <c r="F407" s="18" t="str">
        <f t="shared" si="15"/>
        <v/>
      </c>
      <c r="G407" s="17"/>
      <c r="H407" s="46"/>
      <c r="I407" s="17"/>
    </row>
    <row r="408" spans="1:9" x14ac:dyDescent="0.25">
      <c r="A408" s="46"/>
      <c r="B408" s="46"/>
      <c r="C408" s="46" t="str">
        <f>IFERROR(VLOOKUP(B408,likelihood!A:F,6,FALSE),"")</f>
        <v/>
      </c>
      <c r="D408" s="46" t="str">
        <f>IFERROR(VLOOKUP(B408,Impact_Assessment!A:L,6,FALSE),"")</f>
        <v/>
      </c>
      <c r="E408" s="46" t="str">
        <f t="shared" si="14"/>
        <v/>
      </c>
      <c r="F408" s="18" t="str">
        <f t="shared" si="15"/>
        <v/>
      </c>
      <c r="G408" s="17"/>
      <c r="H408" s="46"/>
      <c r="I408" s="17"/>
    </row>
    <row r="409" spans="1:9" x14ac:dyDescent="0.25">
      <c r="A409" s="46"/>
      <c r="B409" s="46"/>
      <c r="C409" s="46" t="str">
        <f>IFERROR(VLOOKUP(B409,likelihood!A:F,6,FALSE),"")</f>
        <v/>
      </c>
      <c r="D409" s="46" t="str">
        <f>IFERROR(VLOOKUP(B409,Impact_Assessment!A:L,6,FALSE),"")</f>
        <v/>
      </c>
      <c r="E409" s="46" t="str">
        <f t="shared" si="14"/>
        <v/>
      </c>
      <c r="F409" s="18" t="str">
        <f t="shared" si="15"/>
        <v/>
      </c>
      <c r="G409" s="17"/>
      <c r="H409" s="46"/>
      <c r="I409" s="17"/>
    </row>
    <row r="410" spans="1:9" x14ac:dyDescent="0.25">
      <c r="A410" s="46"/>
      <c r="B410" s="46"/>
      <c r="C410" s="46" t="str">
        <f>IFERROR(VLOOKUP(B410,likelihood!A:F,6,FALSE),"")</f>
        <v/>
      </c>
      <c r="D410" s="46" t="str">
        <f>IFERROR(VLOOKUP(B410,Impact_Assessment!A:L,6,FALSE),"")</f>
        <v/>
      </c>
      <c r="E410" s="46" t="str">
        <f t="shared" si="14"/>
        <v/>
      </c>
      <c r="F410" s="18" t="str">
        <f t="shared" si="15"/>
        <v/>
      </c>
      <c r="G410" s="17"/>
      <c r="H410" s="46"/>
      <c r="I410" s="17"/>
    </row>
    <row r="411" spans="1:9" x14ac:dyDescent="0.25">
      <c r="A411" s="46"/>
      <c r="B411" s="46"/>
      <c r="C411" s="46" t="str">
        <f>IFERROR(VLOOKUP(B411,likelihood!A:F,6,FALSE),"")</f>
        <v/>
      </c>
      <c r="D411" s="46" t="str">
        <f>IFERROR(VLOOKUP(B411,Impact_Assessment!A:L,6,FALSE),"")</f>
        <v/>
      </c>
      <c r="E411" s="46" t="str">
        <f t="shared" si="14"/>
        <v/>
      </c>
      <c r="F411" s="18" t="str">
        <f t="shared" si="15"/>
        <v/>
      </c>
      <c r="G411" s="17"/>
      <c r="H411" s="46"/>
      <c r="I411" s="17"/>
    </row>
    <row r="412" spans="1:9" x14ac:dyDescent="0.25">
      <c r="A412" s="46"/>
      <c r="B412" s="46"/>
      <c r="C412" s="46" t="str">
        <f>IFERROR(VLOOKUP(B412,likelihood!A:F,6,FALSE),"")</f>
        <v/>
      </c>
      <c r="D412" s="46" t="str">
        <f>IFERROR(VLOOKUP(B412,Impact_Assessment!A:L,6,FALSE),"")</f>
        <v/>
      </c>
      <c r="E412" s="46" t="str">
        <f t="shared" si="14"/>
        <v/>
      </c>
      <c r="F412" s="18" t="str">
        <f t="shared" si="15"/>
        <v/>
      </c>
      <c r="G412" s="17"/>
      <c r="H412" s="46"/>
      <c r="I412" s="17"/>
    </row>
    <row r="413" spans="1:9" x14ac:dyDescent="0.25">
      <c r="A413" s="46"/>
      <c r="B413" s="46"/>
      <c r="C413" s="46" t="str">
        <f>IFERROR(VLOOKUP(B413,likelihood!A:F,6,FALSE),"")</f>
        <v/>
      </c>
      <c r="D413" s="46" t="str">
        <f>IFERROR(VLOOKUP(B413,Impact_Assessment!A:L,6,FALSE),"")</f>
        <v/>
      </c>
      <c r="E413" s="46" t="str">
        <f t="shared" si="14"/>
        <v/>
      </c>
      <c r="F413" s="18" t="str">
        <f t="shared" si="15"/>
        <v/>
      </c>
      <c r="G413" s="17"/>
      <c r="H413" s="46"/>
      <c r="I413" s="17"/>
    </row>
    <row r="414" spans="1:9" x14ac:dyDescent="0.25">
      <c r="A414" s="46"/>
      <c r="B414" s="46"/>
      <c r="C414" s="46" t="str">
        <f>IFERROR(VLOOKUP(B414,likelihood!A:F,6,FALSE),"")</f>
        <v/>
      </c>
      <c r="D414" s="46" t="str">
        <f>IFERROR(VLOOKUP(B414,Impact_Assessment!A:L,6,FALSE),"")</f>
        <v/>
      </c>
      <c r="E414" s="46" t="str">
        <f t="shared" si="14"/>
        <v/>
      </c>
      <c r="F414" s="18" t="str">
        <f t="shared" si="15"/>
        <v/>
      </c>
      <c r="G414" s="17"/>
      <c r="H414" s="46"/>
      <c r="I414" s="17"/>
    </row>
    <row r="415" spans="1:9" x14ac:dyDescent="0.25">
      <c r="A415" s="46"/>
      <c r="B415" s="46"/>
      <c r="C415" s="46" t="str">
        <f>IFERROR(VLOOKUP(B415,likelihood!A:F,6,FALSE),"")</f>
        <v/>
      </c>
      <c r="D415" s="46" t="str">
        <f>IFERROR(VLOOKUP(B415,Impact_Assessment!A:L,6,FALSE),"")</f>
        <v/>
      </c>
      <c r="E415" s="46" t="str">
        <f t="shared" si="14"/>
        <v/>
      </c>
      <c r="F415" s="18" t="str">
        <f t="shared" si="15"/>
        <v/>
      </c>
      <c r="G415" s="17"/>
      <c r="H415" s="46"/>
      <c r="I415" s="17"/>
    </row>
    <row r="416" spans="1:9" x14ac:dyDescent="0.25">
      <c r="A416" s="46"/>
      <c r="B416" s="46"/>
      <c r="C416" s="46" t="str">
        <f>IFERROR(VLOOKUP(B416,likelihood!A:F,6,FALSE),"")</f>
        <v/>
      </c>
      <c r="D416" s="46" t="str">
        <f>IFERROR(VLOOKUP(B416,Impact_Assessment!A:L,6,FALSE),"")</f>
        <v/>
      </c>
      <c r="E416" s="46" t="str">
        <f t="shared" si="14"/>
        <v/>
      </c>
      <c r="F416" s="18" t="str">
        <f t="shared" si="15"/>
        <v/>
      </c>
      <c r="G416" s="17"/>
      <c r="H416" s="46"/>
      <c r="I416" s="17"/>
    </row>
    <row r="417" spans="1:9" x14ac:dyDescent="0.25">
      <c r="A417" s="46"/>
      <c r="B417" s="46"/>
      <c r="C417" s="46" t="str">
        <f>IFERROR(VLOOKUP(B417,likelihood!A:F,6,FALSE),"")</f>
        <v/>
      </c>
      <c r="D417" s="46" t="str">
        <f>IFERROR(VLOOKUP(B417,Impact_Assessment!A:L,6,FALSE),"")</f>
        <v/>
      </c>
      <c r="E417" s="46" t="str">
        <f t="shared" si="14"/>
        <v/>
      </c>
      <c r="F417" s="18" t="str">
        <f t="shared" si="15"/>
        <v/>
      </c>
      <c r="G417" s="17"/>
      <c r="H417" s="46"/>
      <c r="I417" s="17"/>
    </row>
    <row r="418" spans="1:9" x14ac:dyDescent="0.25">
      <c r="A418" s="46"/>
      <c r="B418" s="46"/>
      <c r="C418" s="46" t="str">
        <f>IFERROR(VLOOKUP(B418,likelihood!A:F,6,FALSE),"")</f>
        <v/>
      </c>
      <c r="D418" s="46" t="str">
        <f>IFERROR(VLOOKUP(B418,Impact_Assessment!A:L,6,FALSE),"")</f>
        <v/>
      </c>
      <c r="E418" s="46" t="str">
        <f t="shared" si="14"/>
        <v/>
      </c>
      <c r="F418" s="18" t="str">
        <f t="shared" si="15"/>
        <v/>
      </c>
      <c r="G418" s="17"/>
      <c r="H418" s="46"/>
      <c r="I418" s="17"/>
    </row>
    <row r="419" spans="1:9" x14ac:dyDescent="0.25">
      <c r="A419" s="46"/>
      <c r="B419" s="46"/>
      <c r="C419" s="46" t="str">
        <f>IFERROR(VLOOKUP(B419,likelihood!A:F,6,FALSE),"")</f>
        <v/>
      </c>
      <c r="D419" s="46" t="str">
        <f>IFERROR(VLOOKUP(B419,Impact_Assessment!A:L,6,FALSE),"")</f>
        <v/>
      </c>
      <c r="E419" s="46" t="str">
        <f t="shared" si="14"/>
        <v/>
      </c>
      <c r="F419" s="18" t="str">
        <f t="shared" si="15"/>
        <v/>
      </c>
      <c r="G419" s="17"/>
      <c r="H419" s="46"/>
      <c r="I419" s="17"/>
    </row>
    <row r="420" spans="1:9" x14ac:dyDescent="0.25">
      <c r="A420" s="46"/>
      <c r="B420" s="46"/>
      <c r="C420" s="46" t="str">
        <f>IFERROR(VLOOKUP(B420,likelihood!A:F,6,FALSE),"")</f>
        <v/>
      </c>
      <c r="D420" s="46" t="str">
        <f>IFERROR(VLOOKUP(B420,Impact_Assessment!A:L,6,FALSE),"")</f>
        <v/>
      </c>
      <c r="E420" s="46" t="str">
        <f t="shared" si="14"/>
        <v/>
      </c>
      <c r="F420" s="18" t="str">
        <f t="shared" si="15"/>
        <v/>
      </c>
      <c r="G420" s="17"/>
      <c r="H420" s="46"/>
      <c r="I420" s="17"/>
    </row>
    <row r="421" spans="1:9" x14ac:dyDescent="0.25">
      <c r="A421" s="46"/>
      <c r="B421" s="46"/>
      <c r="C421" s="46" t="str">
        <f>IFERROR(VLOOKUP(B421,likelihood!A:F,6,FALSE),"")</f>
        <v/>
      </c>
      <c r="D421" s="46" t="str">
        <f>IFERROR(VLOOKUP(B421,Impact_Assessment!A:L,6,FALSE),"")</f>
        <v/>
      </c>
      <c r="E421" s="46" t="str">
        <f t="shared" si="14"/>
        <v/>
      </c>
      <c r="F421" s="18" t="str">
        <f t="shared" si="15"/>
        <v/>
      </c>
      <c r="G421" s="17"/>
      <c r="H421" s="46"/>
      <c r="I421" s="17"/>
    </row>
    <row r="422" spans="1:9" x14ac:dyDescent="0.25">
      <c r="A422" s="46"/>
      <c r="B422" s="46"/>
      <c r="C422" s="46" t="str">
        <f>IFERROR(VLOOKUP(B422,likelihood!A:F,6,FALSE),"")</f>
        <v/>
      </c>
      <c r="D422" s="46" t="str">
        <f>IFERROR(VLOOKUP(B422,Impact_Assessment!A:L,6,FALSE),"")</f>
        <v/>
      </c>
      <c r="E422" s="46" t="str">
        <f t="shared" si="14"/>
        <v/>
      </c>
      <c r="F422" s="18" t="str">
        <f t="shared" si="15"/>
        <v/>
      </c>
      <c r="G422" s="17"/>
      <c r="H422" s="46"/>
      <c r="I422" s="17"/>
    </row>
    <row r="423" spans="1:9" x14ac:dyDescent="0.25">
      <c r="A423" s="46"/>
      <c r="B423" s="46"/>
      <c r="C423" s="46" t="str">
        <f>IFERROR(VLOOKUP(B423,likelihood!A:F,6,FALSE),"")</f>
        <v/>
      </c>
      <c r="D423" s="46" t="str">
        <f>IFERROR(VLOOKUP(B423,Impact_Assessment!A:L,6,FALSE),"")</f>
        <v/>
      </c>
      <c r="E423" s="46" t="str">
        <f t="shared" si="14"/>
        <v/>
      </c>
      <c r="F423" s="18" t="str">
        <f t="shared" si="15"/>
        <v/>
      </c>
      <c r="G423" s="17"/>
      <c r="H423" s="46"/>
      <c r="I423" s="17"/>
    </row>
    <row r="424" spans="1:9" x14ac:dyDescent="0.25">
      <c r="A424" s="46"/>
      <c r="B424" s="46"/>
      <c r="C424" s="46" t="str">
        <f>IFERROR(VLOOKUP(B424,likelihood!A:F,6,FALSE),"")</f>
        <v/>
      </c>
      <c r="D424" s="46" t="str">
        <f>IFERROR(VLOOKUP(B424,Impact_Assessment!A:L,6,FALSE),"")</f>
        <v/>
      </c>
      <c r="E424" s="46" t="str">
        <f t="shared" si="14"/>
        <v/>
      </c>
      <c r="F424" s="18" t="str">
        <f t="shared" si="15"/>
        <v/>
      </c>
      <c r="G424" s="17"/>
      <c r="H424" s="46"/>
      <c r="I424" s="17"/>
    </row>
    <row r="425" spans="1:9" x14ac:dyDescent="0.25">
      <c r="A425" s="46"/>
      <c r="B425" s="46"/>
      <c r="C425" s="46" t="str">
        <f>IFERROR(VLOOKUP(B425,likelihood!A:F,6,FALSE),"")</f>
        <v/>
      </c>
      <c r="D425" s="46" t="str">
        <f>IFERROR(VLOOKUP(B425,Impact_Assessment!A:L,6,FALSE),"")</f>
        <v/>
      </c>
      <c r="E425" s="46" t="str">
        <f t="shared" si="14"/>
        <v/>
      </c>
      <c r="F425" s="18" t="str">
        <f t="shared" si="15"/>
        <v/>
      </c>
      <c r="G425" s="17"/>
      <c r="H425" s="46"/>
      <c r="I425" s="17"/>
    </row>
    <row r="426" spans="1:9" x14ac:dyDescent="0.25">
      <c r="A426" s="46"/>
      <c r="B426" s="46"/>
      <c r="C426" s="46" t="str">
        <f>IFERROR(VLOOKUP(B426,likelihood!A:F,6,FALSE),"")</f>
        <v/>
      </c>
      <c r="D426" s="46" t="str">
        <f>IFERROR(VLOOKUP(B426,Impact_Assessment!A:L,6,FALSE),"")</f>
        <v/>
      </c>
      <c r="E426" s="46" t="str">
        <f t="shared" si="14"/>
        <v/>
      </c>
      <c r="F426" s="18" t="str">
        <f t="shared" si="15"/>
        <v/>
      </c>
      <c r="G426" s="17"/>
      <c r="H426" s="46"/>
      <c r="I426" s="17"/>
    </row>
    <row r="427" spans="1:9" x14ac:dyDescent="0.25">
      <c r="A427" s="46"/>
      <c r="B427" s="46"/>
      <c r="C427" s="46" t="str">
        <f>IFERROR(VLOOKUP(B427,likelihood!A:F,6,FALSE),"")</f>
        <v/>
      </c>
      <c r="D427" s="46" t="str">
        <f>IFERROR(VLOOKUP(B427,Impact_Assessment!A:L,6,FALSE),"")</f>
        <v/>
      </c>
      <c r="E427" s="46" t="str">
        <f t="shared" si="14"/>
        <v/>
      </c>
      <c r="F427" s="18" t="str">
        <f t="shared" si="15"/>
        <v/>
      </c>
      <c r="G427" s="17"/>
      <c r="H427" s="46"/>
      <c r="I427" s="17"/>
    </row>
    <row r="428" spans="1:9" x14ac:dyDescent="0.25">
      <c r="A428" s="46"/>
      <c r="B428" s="46"/>
      <c r="C428" s="46" t="str">
        <f>IFERROR(VLOOKUP(B428,likelihood!A:F,6,FALSE),"")</f>
        <v/>
      </c>
      <c r="D428" s="46" t="str">
        <f>IFERROR(VLOOKUP(B428,Impact_Assessment!A:L,6,FALSE),"")</f>
        <v/>
      </c>
      <c r="E428" s="46" t="str">
        <f t="shared" si="14"/>
        <v/>
      </c>
      <c r="F428" s="18" t="str">
        <f t="shared" si="15"/>
        <v/>
      </c>
      <c r="G428" s="17"/>
      <c r="H428" s="46"/>
      <c r="I428" s="17"/>
    </row>
    <row r="429" spans="1:9" x14ac:dyDescent="0.25">
      <c r="A429" s="46"/>
      <c r="B429" s="46"/>
      <c r="C429" s="46" t="str">
        <f>IFERROR(VLOOKUP(B429,likelihood!A:F,6,FALSE),"")</f>
        <v/>
      </c>
      <c r="D429" s="46" t="str">
        <f>IFERROR(VLOOKUP(B429,Impact_Assessment!A:L,6,FALSE),"")</f>
        <v/>
      </c>
      <c r="E429" s="46" t="str">
        <f t="shared" si="14"/>
        <v/>
      </c>
      <c r="F429" s="18" t="str">
        <f t="shared" si="15"/>
        <v/>
      </c>
      <c r="G429" s="17"/>
      <c r="H429" s="46"/>
      <c r="I429" s="17"/>
    </row>
    <row r="430" spans="1:9" x14ac:dyDescent="0.25">
      <c r="A430" s="46"/>
      <c r="B430" s="46"/>
      <c r="C430" s="46" t="str">
        <f>IFERROR(VLOOKUP(B430,likelihood!A:F,6,FALSE),"")</f>
        <v/>
      </c>
      <c r="D430" s="46" t="str">
        <f>IFERROR(VLOOKUP(B430,Impact_Assessment!A:L,6,FALSE),"")</f>
        <v/>
      </c>
      <c r="E430" s="46" t="str">
        <f t="shared" si="14"/>
        <v/>
      </c>
      <c r="F430" s="18" t="str">
        <f t="shared" si="15"/>
        <v/>
      </c>
      <c r="G430" s="17"/>
      <c r="H430" s="46"/>
      <c r="I430" s="17"/>
    </row>
    <row r="431" spans="1:9" x14ac:dyDescent="0.25">
      <c r="A431" s="46"/>
      <c r="B431" s="46"/>
      <c r="C431" s="46" t="str">
        <f>IFERROR(VLOOKUP(B431,likelihood!A:F,6,FALSE),"")</f>
        <v/>
      </c>
      <c r="D431" s="46" t="str">
        <f>IFERROR(VLOOKUP(B431,Impact_Assessment!A:L,6,FALSE),"")</f>
        <v/>
      </c>
      <c r="E431" s="46" t="str">
        <f t="shared" si="14"/>
        <v/>
      </c>
      <c r="F431" s="18" t="str">
        <f t="shared" si="15"/>
        <v/>
      </c>
      <c r="G431" s="17"/>
      <c r="H431" s="46"/>
      <c r="I431" s="17"/>
    </row>
    <row r="432" spans="1:9" x14ac:dyDescent="0.25">
      <c r="A432" s="46"/>
      <c r="B432" s="46"/>
      <c r="C432" s="46" t="str">
        <f>IFERROR(VLOOKUP(B432,likelihood!A:F,6,FALSE),"")</f>
        <v/>
      </c>
      <c r="D432" s="46" t="str">
        <f>IFERROR(VLOOKUP(B432,Impact_Assessment!A:L,6,FALSE),"")</f>
        <v/>
      </c>
      <c r="E432" s="46" t="str">
        <f t="shared" si="14"/>
        <v/>
      </c>
      <c r="F432" s="18" t="str">
        <f t="shared" si="15"/>
        <v/>
      </c>
      <c r="G432" s="17"/>
      <c r="H432" s="46"/>
      <c r="I432" s="17"/>
    </row>
    <row r="433" spans="1:9" x14ac:dyDescent="0.25">
      <c r="A433" s="46"/>
      <c r="B433" s="46"/>
      <c r="C433" s="46" t="str">
        <f>IFERROR(VLOOKUP(B433,likelihood!A:F,6,FALSE),"")</f>
        <v/>
      </c>
      <c r="D433" s="46" t="str">
        <f>IFERROR(VLOOKUP(B433,Impact_Assessment!A:L,6,FALSE),"")</f>
        <v/>
      </c>
      <c r="E433" s="46" t="str">
        <f t="shared" si="14"/>
        <v/>
      </c>
      <c r="F433" s="18" t="str">
        <f t="shared" si="15"/>
        <v/>
      </c>
      <c r="G433" s="17"/>
      <c r="H433" s="46"/>
      <c r="I433" s="17"/>
    </row>
    <row r="434" spans="1:9" x14ac:dyDescent="0.25">
      <c r="A434" s="46"/>
      <c r="B434" s="46"/>
      <c r="C434" s="46" t="str">
        <f>IFERROR(VLOOKUP(B434,likelihood!A:F,6,FALSE),"")</f>
        <v/>
      </c>
      <c r="D434" s="46" t="str">
        <f>IFERROR(VLOOKUP(B434,Impact_Assessment!A:L,6,FALSE),"")</f>
        <v/>
      </c>
      <c r="E434" s="46" t="str">
        <f t="shared" si="14"/>
        <v/>
      </c>
      <c r="F434" s="18" t="str">
        <f t="shared" si="15"/>
        <v/>
      </c>
      <c r="G434" s="17"/>
      <c r="H434" s="46"/>
      <c r="I434" s="17"/>
    </row>
    <row r="435" spans="1:9" x14ac:dyDescent="0.25">
      <c r="A435" s="46"/>
      <c r="B435" s="46"/>
      <c r="C435" s="46" t="str">
        <f>IFERROR(VLOOKUP(B435,likelihood!A:F,6,FALSE),"")</f>
        <v/>
      </c>
      <c r="D435" s="46" t="str">
        <f>IFERROR(VLOOKUP(B435,Impact_Assessment!A:L,6,FALSE),"")</f>
        <v/>
      </c>
      <c r="E435" s="46" t="str">
        <f t="shared" si="14"/>
        <v/>
      </c>
      <c r="F435" s="18" t="str">
        <f t="shared" si="15"/>
        <v/>
      </c>
      <c r="G435" s="17"/>
      <c r="H435" s="46"/>
      <c r="I435" s="17"/>
    </row>
    <row r="436" spans="1:9" x14ac:dyDescent="0.25">
      <c r="A436" s="46"/>
      <c r="B436" s="46"/>
      <c r="C436" s="46" t="str">
        <f>IFERROR(VLOOKUP(B436,likelihood!A:F,6,FALSE),"")</f>
        <v/>
      </c>
      <c r="D436" s="46" t="str">
        <f>IFERROR(VLOOKUP(B436,Impact_Assessment!A:L,6,FALSE),"")</f>
        <v/>
      </c>
      <c r="E436" s="46" t="str">
        <f t="shared" si="14"/>
        <v/>
      </c>
      <c r="F436" s="18" t="str">
        <f t="shared" si="15"/>
        <v/>
      </c>
      <c r="G436" s="17"/>
      <c r="H436" s="46"/>
      <c r="I436" s="17"/>
    </row>
    <row r="437" spans="1:9" x14ac:dyDescent="0.25">
      <c r="A437" s="46"/>
      <c r="B437" s="46"/>
      <c r="C437" s="46" t="str">
        <f>IFERROR(VLOOKUP(B437,likelihood!A:F,6,FALSE),"")</f>
        <v/>
      </c>
      <c r="D437" s="46" t="str">
        <f>IFERROR(VLOOKUP(B437,Impact_Assessment!A:L,6,FALSE),"")</f>
        <v/>
      </c>
      <c r="E437" s="46" t="str">
        <f t="shared" si="14"/>
        <v/>
      </c>
      <c r="F437" s="18" t="str">
        <f t="shared" si="15"/>
        <v/>
      </c>
      <c r="G437" s="17"/>
      <c r="H437" s="46"/>
      <c r="I437" s="17"/>
    </row>
    <row r="438" spans="1:9" x14ac:dyDescent="0.25">
      <c r="A438" s="46"/>
      <c r="B438" s="46"/>
      <c r="C438" s="46" t="str">
        <f>IFERROR(VLOOKUP(B438,likelihood!A:F,6,FALSE),"")</f>
        <v/>
      </c>
      <c r="D438" s="46" t="str">
        <f>IFERROR(VLOOKUP(B438,Impact_Assessment!A:L,6,FALSE),"")</f>
        <v/>
      </c>
      <c r="E438" s="46" t="str">
        <f t="shared" si="14"/>
        <v/>
      </c>
      <c r="F438" s="18" t="str">
        <f t="shared" si="15"/>
        <v/>
      </c>
      <c r="G438" s="17"/>
      <c r="H438" s="46"/>
      <c r="I438" s="17"/>
    </row>
    <row r="439" spans="1:9" x14ac:dyDescent="0.25">
      <c r="A439" s="46"/>
      <c r="B439" s="46"/>
      <c r="C439" s="46" t="str">
        <f>IFERROR(VLOOKUP(B439,likelihood!A:F,6,FALSE),"")</f>
        <v/>
      </c>
      <c r="D439" s="46" t="str">
        <f>IFERROR(VLOOKUP(B439,Impact_Assessment!A:L,6,FALSE),"")</f>
        <v/>
      </c>
      <c r="E439" s="46" t="str">
        <f t="shared" si="14"/>
        <v/>
      </c>
      <c r="F439" s="18" t="str">
        <f t="shared" si="15"/>
        <v/>
      </c>
      <c r="G439" s="17"/>
      <c r="H439" s="46"/>
      <c r="I439" s="17"/>
    </row>
    <row r="440" spans="1:9" x14ac:dyDescent="0.25">
      <c r="A440" s="46"/>
      <c r="B440" s="46"/>
      <c r="C440" s="46" t="str">
        <f>IFERROR(VLOOKUP(B440,likelihood!A:F,6,FALSE),"")</f>
        <v/>
      </c>
      <c r="D440" s="46" t="str">
        <f>IFERROR(VLOOKUP(B440,Impact_Assessment!A:L,6,FALSE),"")</f>
        <v/>
      </c>
      <c r="E440" s="46" t="str">
        <f t="shared" si="14"/>
        <v/>
      </c>
      <c r="F440" s="18" t="str">
        <f t="shared" si="15"/>
        <v/>
      </c>
      <c r="G440" s="17"/>
      <c r="H440" s="46"/>
      <c r="I440" s="17"/>
    </row>
    <row r="441" spans="1:9" x14ac:dyDescent="0.25">
      <c r="A441" s="46"/>
      <c r="B441" s="46"/>
      <c r="C441" s="46" t="str">
        <f>IFERROR(VLOOKUP(B441,likelihood!A:F,6,FALSE),"")</f>
        <v/>
      </c>
      <c r="D441" s="46" t="str">
        <f>IFERROR(VLOOKUP(B441,Impact_Assessment!A:L,6,FALSE),"")</f>
        <v/>
      </c>
      <c r="E441" s="46" t="str">
        <f t="shared" si="14"/>
        <v/>
      </c>
      <c r="F441" s="18" t="str">
        <f t="shared" si="15"/>
        <v/>
      </c>
      <c r="G441" s="17"/>
      <c r="H441" s="46"/>
      <c r="I441" s="17"/>
    </row>
    <row r="442" spans="1:9" x14ac:dyDescent="0.25">
      <c r="A442" s="46"/>
      <c r="B442" s="46"/>
      <c r="C442" s="46" t="str">
        <f>IFERROR(VLOOKUP(B442,likelihood!A:F,6,FALSE),"")</f>
        <v/>
      </c>
      <c r="D442" s="46" t="str">
        <f>IFERROR(VLOOKUP(B442,Impact_Assessment!A:L,6,FALSE),"")</f>
        <v/>
      </c>
      <c r="E442" s="46" t="str">
        <f t="shared" si="14"/>
        <v/>
      </c>
      <c r="F442" s="18" t="str">
        <f t="shared" si="15"/>
        <v/>
      </c>
      <c r="G442" s="17"/>
      <c r="H442" s="46"/>
      <c r="I442" s="17"/>
    </row>
    <row r="443" spans="1:9" x14ac:dyDescent="0.25">
      <c r="A443" s="46"/>
      <c r="B443" s="46"/>
      <c r="C443" s="46" t="str">
        <f>IFERROR(VLOOKUP(B443,likelihood!A:F,6,FALSE),"")</f>
        <v/>
      </c>
      <c r="D443" s="46" t="str">
        <f>IFERROR(VLOOKUP(B443,Impact_Assessment!A:L,6,FALSE),"")</f>
        <v/>
      </c>
      <c r="E443" s="46" t="str">
        <f t="shared" si="14"/>
        <v/>
      </c>
      <c r="F443" s="18" t="str">
        <f t="shared" si="15"/>
        <v/>
      </c>
      <c r="G443" s="17"/>
      <c r="H443" s="46"/>
      <c r="I443" s="17"/>
    </row>
    <row r="444" spans="1:9" x14ac:dyDescent="0.25">
      <c r="A444" s="46"/>
      <c r="B444" s="46"/>
      <c r="C444" s="46" t="str">
        <f>IFERROR(VLOOKUP(B444,likelihood!A:F,6,FALSE),"")</f>
        <v/>
      </c>
      <c r="D444" s="46" t="str">
        <f>IFERROR(VLOOKUP(B444,Impact_Assessment!A:L,6,FALSE),"")</f>
        <v/>
      </c>
      <c r="E444" s="46" t="str">
        <f t="shared" si="14"/>
        <v/>
      </c>
      <c r="F444" s="18" t="str">
        <f t="shared" si="15"/>
        <v/>
      </c>
      <c r="G444" s="17"/>
      <c r="H444" s="46"/>
      <c r="I444" s="17"/>
    </row>
    <row r="445" spans="1:9" x14ac:dyDescent="0.25">
      <c r="A445" s="46"/>
      <c r="B445" s="46"/>
      <c r="C445" s="46" t="str">
        <f>IFERROR(VLOOKUP(B445,likelihood!A:F,6,FALSE),"")</f>
        <v/>
      </c>
      <c r="D445" s="46" t="str">
        <f>IFERROR(VLOOKUP(B445,Impact_Assessment!A:L,6,FALSE),"")</f>
        <v/>
      </c>
      <c r="E445" s="46" t="str">
        <f t="shared" si="14"/>
        <v/>
      </c>
      <c r="F445" s="18" t="str">
        <f t="shared" si="15"/>
        <v/>
      </c>
      <c r="G445" s="17"/>
      <c r="H445" s="46"/>
      <c r="I445" s="17"/>
    </row>
    <row r="446" spans="1:9" x14ac:dyDescent="0.25">
      <c r="A446" s="46"/>
      <c r="B446" s="46"/>
      <c r="C446" s="46" t="str">
        <f>IFERROR(VLOOKUP(B446,likelihood!A:F,6,FALSE),"")</f>
        <v/>
      </c>
      <c r="D446" s="46" t="str">
        <f>IFERROR(VLOOKUP(B446,Impact_Assessment!A:L,6,FALSE),"")</f>
        <v/>
      </c>
      <c r="E446" s="46" t="str">
        <f t="shared" si="14"/>
        <v/>
      </c>
      <c r="F446" s="18" t="str">
        <f t="shared" si="15"/>
        <v/>
      </c>
      <c r="G446" s="17"/>
      <c r="H446" s="46"/>
      <c r="I446" s="17"/>
    </row>
    <row r="447" spans="1:9" x14ac:dyDescent="0.25">
      <c r="A447" s="46"/>
      <c r="B447" s="46"/>
      <c r="C447" s="46" t="str">
        <f>IFERROR(VLOOKUP(B447,likelihood!A:F,6,FALSE),"")</f>
        <v/>
      </c>
      <c r="D447" s="46" t="str">
        <f>IFERROR(VLOOKUP(B447,Impact_Assessment!A:L,6,FALSE),"")</f>
        <v/>
      </c>
      <c r="E447" s="46" t="str">
        <f t="shared" si="14"/>
        <v/>
      </c>
      <c r="F447" s="18" t="str">
        <f t="shared" si="15"/>
        <v/>
      </c>
      <c r="G447" s="17"/>
      <c r="H447" s="46"/>
      <c r="I447" s="17"/>
    </row>
    <row r="448" spans="1:9" x14ac:dyDescent="0.25">
      <c r="A448" s="46"/>
      <c r="B448" s="46"/>
      <c r="C448" s="46" t="str">
        <f>IFERROR(VLOOKUP(B448,likelihood!A:F,6,FALSE),"")</f>
        <v/>
      </c>
      <c r="D448" s="46" t="str">
        <f>IFERROR(VLOOKUP(B448,Impact_Assessment!A:L,6,FALSE),"")</f>
        <v/>
      </c>
      <c r="E448" s="46" t="str">
        <f t="shared" si="14"/>
        <v/>
      </c>
      <c r="F448" s="18" t="str">
        <f t="shared" si="15"/>
        <v/>
      </c>
      <c r="G448" s="17"/>
      <c r="H448" s="46"/>
      <c r="I448" s="17"/>
    </row>
    <row r="449" spans="1:9" x14ac:dyDescent="0.25">
      <c r="A449" s="46"/>
      <c r="B449" s="46"/>
      <c r="C449" s="46" t="str">
        <f>IFERROR(VLOOKUP(B449,likelihood!A:F,6,FALSE),"")</f>
        <v/>
      </c>
      <c r="D449" s="46" t="str">
        <f>IFERROR(VLOOKUP(B449,Impact_Assessment!A:L,6,FALSE),"")</f>
        <v/>
      </c>
      <c r="E449" s="46" t="str">
        <f t="shared" si="14"/>
        <v/>
      </c>
      <c r="F449" s="18" t="str">
        <f t="shared" si="15"/>
        <v/>
      </c>
      <c r="G449" s="17"/>
      <c r="H449" s="46"/>
      <c r="I449" s="17"/>
    </row>
    <row r="450" spans="1:9" x14ac:dyDescent="0.25">
      <c r="A450" s="46"/>
      <c r="B450" s="46"/>
      <c r="C450" s="46" t="str">
        <f>IFERROR(VLOOKUP(B450,likelihood!A:F,6,FALSE),"")</f>
        <v/>
      </c>
      <c r="D450" s="46" t="str">
        <f>IFERROR(VLOOKUP(B450,Impact_Assessment!A:L,6,FALSE),"")</f>
        <v/>
      </c>
      <c r="E450" s="46" t="str">
        <f t="shared" ref="E450:E501" si="16">IF(C450&lt;&gt;"",C450*D450,"")</f>
        <v/>
      </c>
      <c r="F450" s="18" t="str">
        <f t="shared" si="15"/>
        <v/>
      </c>
      <c r="G450" s="17"/>
      <c r="H450" s="46"/>
      <c r="I450" s="17"/>
    </row>
    <row r="451" spans="1:9" x14ac:dyDescent="0.25">
      <c r="A451" s="46"/>
      <c r="B451" s="46"/>
      <c r="C451" s="46" t="str">
        <f>IFERROR(VLOOKUP(B451,likelihood!A:F,6,FALSE),"")</f>
        <v/>
      </c>
      <c r="D451" s="46" t="str">
        <f>IFERROR(VLOOKUP(B451,Impact_Assessment!A:L,6,FALSE),"")</f>
        <v/>
      </c>
      <c r="E451" s="46" t="str">
        <f t="shared" si="16"/>
        <v/>
      </c>
      <c r="F451" s="18" t="str">
        <f t="shared" ref="F451:F501" si="17">IF(E451="","",
 IF(E451&lt;=5,"Low",IF(E451&lt;=10,"Medium",
 IF(E451&lt;=15,"High","Critical"))))</f>
        <v/>
      </c>
      <c r="G451" s="17"/>
      <c r="H451" s="46"/>
      <c r="I451" s="17"/>
    </row>
    <row r="452" spans="1:9" x14ac:dyDescent="0.25">
      <c r="A452" s="46"/>
      <c r="B452" s="46"/>
      <c r="C452" s="46" t="str">
        <f>IFERROR(VLOOKUP(B452,likelihood!A:F,6,FALSE),"")</f>
        <v/>
      </c>
      <c r="D452" s="46" t="str">
        <f>IFERROR(VLOOKUP(B452,Impact_Assessment!A:L,6,FALSE),"")</f>
        <v/>
      </c>
      <c r="E452" s="46" t="str">
        <f t="shared" si="16"/>
        <v/>
      </c>
      <c r="F452" s="18" t="str">
        <f t="shared" si="17"/>
        <v/>
      </c>
      <c r="G452" s="17"/>
      <c r="H452" s="46"/>
      <c r="I452" s="17"/>
    </row>
    <row r="453" spans="1:9" x14ac:dyDescent="0.25">
      <c r="A453" s="46"/>
      <c r="B453" s="46"/>
      <c r="C453" s="46" t="str">
        <f>IFERROR(VLOOKUP(B453,likelihood!A:F,6,FALSE),"")</f>
        <v/>
      </c>
      <c r="D453" s="46" t="str">
        <f>IFERROR(VLOOKUP(B453,Impact_Assessment!A:L,6,FALSE),"")</f>
        <v/>
      </c>
      <c r="E453" s="46" t="str">
        <f t="shared" si="16"/>
        <v/>
      </c>
      <c r="F453" s="18" t="str">
        <f t="shared" si="17"/>
        <v/>
      </c>
      <c r="G453" s="17"/>
      <c r="H453" s="46"/>
      <c r="I453" s="17"/>
    </row>
    <row r="454" spans="1:9" x14ac:dyDescent="0.25">
      <c r="A454" s="46"/>
      <c r="B454" s="46"/>
      <c r="C454" s="46" t="str">
        <f>IFERROR(VLOOKUP(B454,likelihood!A:F,6,FALSE),"")</f>
        <v/>
      </c>
      <c r="D454" s="46" t="str">
        <f>IFERROR(VLOOKUP(B454,Impact_Assessment!A:L,6,FALSE),"")</f>
        <v/>
      </c>
      <c r="E454" s="46" t="str">
        <f t="shared" si="16"/>
        <v/>
      </c>
      <c r="F454" s="18" t="str">
        <f t="shared" si="17"/>
        <v/>
      </c>
      <c r="G454" s="17"/>
      <c r="H454" s="46"/>
      <c r="I454" s="17"/>
    </row>
    <row r="455" spans="1:9" x14ac:dyDescent="0.25">
      <c r="A455" s="46"/>
      <c r="B455" s="46"/>
      <c r="C455" s="46" t="str">
        <f>IFERROR(VLOOKUP(B455,likelihood!A:F,6,FALSE),"")</f>
        <v/>
      </c>
      <c r="D455" s="46" t="str">
        <f>IFERROR(VLOOKUP(B455,Impact_Assessment!A:L,6,FALSE),"")</f>
        <v/>
      </c>
      <c r="E455" s="46" t="str">
        <f t="shared" si="16"/>
        <v/>
      </c>
      <c r="F455" s="18" t="str">
        <f t="shared" si="17"/>
        <v/>
      </c>
      <c r="G455" s="17"/>
      <c r="H455" s="46"/>
      <c r="I455" s="17"/>
    </row>
    <row r="456" spans="1:9" x14ac:dyDescent="0.25">
      <c r="A456" s="46"/>
      <c r="B456" s="46"/>
      <c r="C456" s="46" t="str">
        <f>IFERROR(VLOOKUP(B456,likelihood!A:F,6,FALSE),"")</f>
        <v/>
      </c>
      <c r="D456" s="46" t="str">
        <f>IFERROR(VLOOKUP(B456,Impact_Assessment!A:L,6,FALSE),"")</f>
        <v/>
      </c>
      <c r="E456" s="46" t="str">
        <f t="shared" si="16"/>
        <v/>
      </c>
      <c r="F456" s="18" t="str">
        <f t="shared" si="17"/>
        <v/>
      </c>
      <c r="G456" s="17"/>
      <c r="H456" s="46"/>
      <c r="I456" s="17"/>
    </row>
    <row r="457" spans="1:9" x14ac:dyDescent="0.25">
      <c r="A457" s="46"/>
      <c r="B457" s="46"/>
      <c r="C457" s="46" t="str">
        <f>IFERROR(VLOOKUP(B457,likelihood!A:F,6,FALSE),"")</f>
        <v/>
      </c>
      <c r="D457" s="46" t="str">
        <f>IFERROR(VLOOKUP(B457,Impact_Assessment!A:L,6,FALSE),"")</f>
        <v/>
      </c>
      <c r="E457" s="46" t="str">
        <f t="shared" si="16"/>
        <v/>
      </c>
      <c r="F457" s="18" t="str">
        <f t="shared" si="17"/>
        <v/>
      </c>
      <c r="G457" s="17"/>
      <c r="H457" s="46"/>
      <c r="I457" s="17"/>
    </row>
    <row r="458" spans="1:9" x14ac:dyDescent="0.25">
      <c r="A458" s="46"/>
      <c r="B458" s="46"/>
      <c r="C458" s="46" t="str">
        <f>IFERROR(VLOOKUP(B458,likelihood!A:F,6,FALSE),"")</f>
        <v/>
      </c>
      <c r="D458" s="46" t="str">
        <f>IFERROR(VLOOKUP(B458,Impact_Assessment!A:L,6,FALSE),"")</f>
        <v/>
      </c>
      <c r="E458" s="46" t="str">
        <f t="shared" si="16"/>
        <v/>
      </c>
      <c r="F458" s="18" t="str">
        <f t="shared" si="17"/>
        <v/>
      </c>
      <c r="G458" s="17"/>
      <c r="H458" s="46"/>
      <c r="I458" s="17"/>
    </row>
    <row r="459" spans="1:9" x14ac:dyDescent="0.25">
      <c r="A459" s="46"/>
      <c r="B459" s="46"/>
      <c r="C459" s="46" t="str">
        <f>IFERROR(VLOOKUP(B459,likelihood!A:F,6,FALSE),"")</f>
        <v/>
      </c>
      <c r="D459" s="46" t="str">
        <f>IFERROR(VLOOKUP(B459,Impact_Assessment!A:L,6,FALSE),"")</f>
        <v/>
      </c>
      <c r="E459" s="46" t="str">
        <f t="shared" si="16"/>
        <v/>
      </c>
      <c r="F459" s="18" t="str">
        <f t="shared" si="17"/>
        <v/>
      </c>
      <c r="G459" s="17"/>
      <c r="H459" s="46"/>
      <c r="I459" s="17"/>
    </row>
    <row r="460" spans="1:9" x14ac:dyDescent="0.25">
      <c r="A460" s="46"/>
      <c r="B460" s="46"/>
      <c r="C460" s="46" t="str">
        <f>IFERROR(VLOOKUP(B460,likelihood!A:F,6,FALSE),"")</f>
        <v/>
      </c>
      <c r="D460" s="46" t="str">
        <f>IFERROR(VLOOKUP(B460,Impact_Assessment!A:L,6,FALSE),"")</f>
        <v/>
      </c>
      <c r="E460" s="46" t="str">
        <f t="shared" si="16"/>
        <v/>
      </c>
      <c r="F460" s="18" t="str">
        <f t="shared" si="17"/>
        <v/>
      </c>
      <c r="G460" s="17"/>
      <c r="H460" s="46"/>
      <c r="I460" s="17"/>
    </row>
    <row r="461" spans="1:9" x14ac:dyDescent="0.25">
      <c r="A461" s="46"/>
      <c r="B461" s="46"/>
      <c r="C461" s="46" t="str">
        <f>IFERROR(VLOOKUP(B461,likelihood!A:F,6,FALSE),"")</f>
        <v/>
      </c>
      <c r="D461" s="46" t="str">
        <f>IFERROR(VLOOKUP(B461,Impact_Assessment!A:L,6,FALSE),"")</f>
        <v/>
      </c>
      <c r="E461" s="46" t="str">
        <f t="shared" si="16"/>
        <v/>
      </c>
      <c r="F461" s="18" t="str">
        <f t="shared" si="17"/>
        <v/>
      </c>
      <c r="G461" s="17"/>
      <c r="H461" s="46"/>
      <c r="I461" s="17"/>
    </row>
    <row r="462" spans="1:9" x14ac:dyDescent="0.25">
      <c r="A462" s="46"/>
      <c r="B462" s="46"/>
      <c r="C462" s="46" t="str">
        <f>IFERROR(VLOOKUP(B462,likelihood!A:F,6,FALSE),"")</f>
        <v/>
      </c>
      <c r="D462" s="46" t="str">
        <f>IFERROR(VLOOKUP(B462,Impact_Assessment!A:L,6,FALSE),"")</f>
        <v/>
      </c>
      <c r="E462" s="46" t="str">
        <f t="shared" si="16"/>
        <v/>
      </c>
      <c r="F462" s="18" t="str">
        <f t="shared" si="17"/>
        <v/>
      </c>
      <c r="G462" s="17"/>
      <c r="H462" s="46"/>
      <c r="I462" s="17"/>
    </row>
    <row r="463" spans="1:9" x14ac:dyDescent="0.25">
      <c r="A463" s="46"/>
      <c r="B463" s="46"/>
      <c r="C463" s="46" t="str">
        <f>IFERROR(VLOOKUP(B463,likelihood!A:F,6,FALSE),"")</f>
        <v/>
      </c>
      <c r="D463" s="46" t="str">
        <f>IFERROR(VLOOKUP(B463,Impact_Assessment!A:L,6,FALSE),"")</f>
        <v/>
      </c>
      <c r="E463" s="46" t="str">
        <f t="shared" si="16"/>
        <v/>
      </c>
      <c r="F463" s="18" t="str">
        <f t="shared" si="17"/>
        <v/>
      </c>
      <c r="G463" s="17"/>
      <c r="H463" s="46"/>
      <c r="I463" s="17"/>
    </row>
    <row r="464" spans="1:9" x14ac:dyDescent="0.25">
      <c r="A464" s="46"/>
      <c r="B464" s="46"/>
      <c r="C464" s="46" t="str">
        <f>IFERROR(VLOOKUP(B464,likelihood!A:F,6,FALSE),"")</f>
        <v/>
      </c>
      <c r="D464" s="46" t="str">
        <f>IFERROR(VLOOKUP(B464,Impact_Assessment!A:L,6,FALSE),"")</f>
        <v/>
      </c>
      <c r="E464" s="46" t="str">
        <f t="shared" si="16"/>
        <v/>
      </c>
      <c r="F464" s="18" t="str">
        <f t="shared" si="17"/>
        <v/>
      </c>
      <c r="G464" s="17"/>
      <c r="H464" s="46"/>
      <c r="I464" s="17"/>
    </row>
    <row r="465" spans="1:9" x14ac:dyDescent="0.25">
      <c r="A465" s="46"/>
      <c r="B465" s="46"/>
      <c r="C465" s="46" t="str">
        <f>IFERROR(VLOOKUP(B465,likelihood!A:F,6,FALSE),"")</f>
        <v/>
      </c>
      <c r="D465" s="46" t="str">
        <f>IFERROR(VLOOKUP(B465,Impact_Assessment!A:L,6,FALSE),"")</f>
        <v/>
      </c>
      <c r="E465" s="46" t="str">
        <f t="shared" si="16"/>
        <v/>
      </c>
      <c r="F465" s="18" t="str">
        <f t="shared" si="17"/>
        <v/>
      </c>
      <c r="G465" s="17"/>
      <c r="H465" s="46"/>
      <c r="I465" s="17"/>
    </row>
    <row r="466" spans="1:9" x14ac:dyDescent="0.25">
      <c r="A466" s="46"/>
      <c r="B466" s="46"/>
      <c r="C466" s="46" t="str">
        <f>IFERROR(VLOOKUP(B466,likelihood!A:F,6,FALSE),"")</f>
        <v/>
      </c>
      <c r="D466" s="46" t="str">
        <f>IFERROR(VLOOKUP(B466,Impact_Assessment!A:L,6,FALSE),"")</f>
        <v/>
      </c>
      <c r="E466" s="46" t="str">
        <f t="shared" si="16"/>
        <v/>
      </c>
      <c r="F466" s="18" t="str">
        <f t="shared" si="17"/>
        <v/>
      </c>
      <c r="G466" s="17"/>
      <c r="H466" s="46"/>
      <c r="I466" s="17"/>
    </row>
    <row r="467" spans="1:9" x14ac:dyDescent="0.25">
      <c r="A467" s="46"/>
      <c r="B467" s="46"/>
      <c r="C467" s="46" t="str">
        <f>IFERROR(VLOOKUP(B467,likelihood!A:F,6,FALSE),"")</f>
        <v/>
      </c>
      <c r="D467" s="46" t="str">
        <f>IFERROR(VLOOKUP(B467,Impact_Assessment!A:L,6,FALSE),"")</f>
        <v/>
      </c>
      <c r="E467" s="46" t="str">
        <f t="shared" si="16"/>
        <v/>
      </c>
      <c r="F467" s="18" t="str">
        <f t="shared" si="17"/>
        <v/>
      </c>
      <c r="G467" s="17"/>
      <c r="H467" s="46"/>
      <c r="I467" s="17"/>
    </row>
    <row r="468" spans="1:9" x14ac:dyDescent="0.25">
      <c r="A468" s="46"/>
      <c r="B468" s="46"/>
      <c r="C468" s="46" t="str">
        <f>IFERROR(VLOOKUP(B468,likelihood!A:F,6,FALSE),"")</f>
        <v/>
      </c>
      <c r="D468" s="46" t="str">
        <f>IFERROR(VLOOKUP(B468,Impact_Assessment!A:L,6,FALSE),"")</f>
        <v/>
      </c>
      <c r="E468" s="46" t="str">
        <f t="shared" si="16"/>
        <v/>
      </c>
      <c r="F468" s="18" t="str">
        <f t="shared" si="17"/>
        <v/>
      </c>
      <c r="G468" s="17"/>
      <c r="H468" s="46"/>
      <c r="I468" s="17"/>
    </row>
    <row r="469" spans="1:9" x14ac:dyDescent="0.25">
      <c r="A469" s="46"/>
      <c r="B469" s="46"/>
      <c r="C469" s="46" t="str">
        <f>IFERROR(VLOOKUP(B469,likelihood!A:F,6,FALSE),"")</f>
        <v/>
      </c>
      <c r="D469" s="46" t="str">
        <f>IFERROR(VLOOKUP(B469,Impact_Assessment!A:L,6,FALSE),"")</f>
        <v/>
      </c>
      <c r="E469" s="46" t="str">
        <f t="shared" si="16"/>
        <v/>
      </c>
      <c r="F469" s="18" t="str">
        <f t="shared" si="17"/>
        <v/>
      </c>
      <c r="G469" s="17"/>
      <c r="H469" s="46"/>
      <c r="I469" s="17"/>
    </row>
    <row r="470" spans="1:9" x14ac:dyDescent="0.25">
      <c r="A470" s="46"/>
      <c r="B470" s="46"/>
      <c r="C470" s="46" t="str">
        <f>IFERROR(VLOOKUP(B470,likelihood!A:F,6,FALSE),"")</f>
        <v/>
      </c>
      <c r="D470" s="46" t="str">
        <f>IFERROR(VLOOKUP(B470,Impact_Assessment!A:L,6,FALSE),"")</f>
        <v/>
      </c>
      <c r="E470" s="46" t="str">
        <f t="shared" si="16"/>
        <v/>
      </c>
      <c r="F470" s="18" t="str">
        <f t="shared" si="17"/>
        <v/>
      </c>
      <c r="G470" s="17"/>
      <c r="H470" s="46"/>
      <c r="I470" s="17"/>
    </row>
    <row r="471" spans="1:9" x14ac:dyDescent="0.25">
      <c r="A471" s="46"/>
      <c r="B471" s="46"/>
      <c r="C471" s="46" t="str">
        <f>IFERROR(VLOOKUP(B471,likelihood!A:F,6,FALSE),"")</f>
        <v/>
      </c>
      <c r="D471" s="46" t="str">
        <f>IFERROR(VLOOKUP(B471,Impact_Assessment!A:L,6,FALSE),"")</f>
        <v/>
      </c>
      <c r="E471" s="46" t="str">
        <f t="shared" si="16"/>
        <v/>
      </c>
      <c r="F471" s="18" t="str">
        <f t="shared" si="17"/>
        <v/>
      </c>
      <c r="G471" s="17"/>
      <c r="H471" s="46"/>
      <c r="I471" s="17"/>
    </row>
    <row r="472" spans="1:9" x14ac:dyDescent="0.25">
      <c r="A472" s="46"/>
      <c r="B472" s="46"/>
      <c r="C472" s="46" t="str">
        <f>IFERROR(VLOOKUP(B472,likelihood!A:F,6,FALSE),"")</f>
        <v/>
      </c>
      <c r="D472" s="46" t="str">
        <f>IFERROR(VLOOKUP(B472,Impact_Assessment!A:L,6,FALSE),"")</f>
        <v/>
      </c>
      <c r="E472" s="46" t="str">
        <f t="shared" si="16"/>
        <v/>
      </c>
      <c r="F472" s="18" t="str">
        <f t="shared" si="17"/>
        <v/>
      </c>
      <c r="G472" s="17"/>
      <c r="H472" s="46"/>
      <c r="I472" s="17"/>
    </row>
    <row r="473" spans="1:9" x14ac:dyDescent="0.25">
      <c r="A473" s="46"/>
      <c r="B473" s="46"/>
      <c r="C473" s="46" t="str">
        <f>IFERROR(VLOOKUP(B473,likelihood!A:F,6,FALSE),"")</f>
        <v/>
      </c>
      <c r="D473" s="46" t="str">
        <f>IFERROR(VLOOKUP(B473,Impact_Assessment!A:L,6,FALSE),"")</f>
        <v/>
      </c>
      <c r="E473" s="46" t="str">
        <f t="shared" si="16"/>
        <v/>
      </c>
      <c r="F473" s="18" t="str">
        <f t="shared" si="17"/>
        <v/>
      </c>
      <c r="G473" s="17"/>
      <c r="H473" s="46"/>
      <c r="I473" s="17"/>
    </row>
    <row r="474" spans="1:9" x14ac:dyDescent="0.25">
      <c r="A474" s="46"/>
      <c r="B474" s="46"/>
      <c r="C474" s="46" t="str">
        <f>IFERROR(VLOOKUP(B474,likelihood!A:F,6,FALSE),"")</f>
        <v/>
      </c>
      <c r="D474" s="46" t="str">
        <f>IFERROR(VLOOKUP(B474,Impact_Assessment!A:L,6,FALSE),"")</f>
        <v/>
      </c>
      <c r="E474" s="46" t="str">
        <f t="shared" si="16"/>
        <v/>
      </c>
      <c r="F474" s="18" t="str">
        <f t="shared" si="17"/>
        <v/>
      </c>
      <c r="G474" s="17"/>
      <c r="H474" s="46"/>
      <c r="I474" s="17"/>
    </row>
    <row r="475" spans="1:9" x14ac:dyDescent="0.25">
      <c r="A475" s="46"/>
      <c r="B475" s="46"/>
      <c r="C475" s="46" t="str">
        <f>IFERROR(VLOOKUP(B475,likelihood!A:F,6,FALSE),"")</f>
        <v/>
      </c>
      <c r="D475" s="46" t="str">
        <f>IFERROR(VLOOKUP(B475,Impact_Assessment!A:L,6,FALSE),"")</f>
        <v/>
      </c>
      <c r="E475" s="46" t="str">
        <f t="shared" si="16"/>
        <v/>
      </c>
      <c r="F475" s="18" t="str">
        <f t="shared" si="17"/>
        <v/>
      </c>
      <c r="G475" s="17"/>
      <c r="H475" s="46"/>
      <c r="I475" s="17"/>
    </row>
    <row r="476" spans="1:9" x14ac:dyDescent="0.25">
      <c r="A476" s="46"/>
      <c r="B476" s="46"/>
      <c r="C476" s="46" t="str">
        <f>IFERROR(VLOOKUP(B476,likelihood!A:F,6,FALSE),"")</f>
        <v/>
      </c>
      <c r="D476" s="46" t="str">
        <f>IFERROR(VLOOKUP(B476,Impact_Assessment!A:L,6,FALSE),"")</f>
        <v/>
      </c>
      <c r="E476" s="46" t="str">
        <f t="shared" si="16"/>
        <v/>
      </c>
      <c r="F476" s="18" t="str">
        <f t="shared" si="17"/>
        <v/>
      </c>
      <c r="G476" s="17"/>
      <c r="H476" s="46"/>
      <c r="I476" s="17"/>
    </row>
    <row r="477" spans="1:9" x14ac:dyDescent="0.25">
      <c r="A477" s="46"/>
      <c r="B477" s="46"/>
      <c r="C477" s="46" t="str">
        <f>IFERROR(VLOOKUP(B477,likelihood!A:F,6,FALSE),"")</f>
        <v/>
      </c>
      <c r="D477" s="46" t="str">
        <f>IFERROR(VLOOKUP(B477,Impact_Assessment!A:L,6,FALSE),"")</f>
        <v/>
      </c>
      <c r="E477" s="46" t="str">
        <f t="shared" si="16"/>
        <v/>
      </c>
      <c r="F477" s="18" t="str">
        <f t="shared" si="17"/>
        <v/>
      </c>
      <c r="G477" s="17"/>
      <c r="H477" s="46"/>
      <c r="I477" s="17"/>
    </row>
    <row r="478" spans="1:9" x14ac:dyDescent="0.25">
      <c r="A478" s="46"/>
      <c r="B478" s="46"/>
      <c r="C478" s="46" t="str">
        <f>IFERROR(VLOOKUP(B478,likelihood!A:F,6,FALSE),"")</f>
        <v/>
      </c>
      <c r="D478" s="46" t="str">
        <f>IFERROR(VLOOKUP(B478,Impact_Assessment!A:L,6,FALSE),"")</f>
        <v/>
      </c>
      <c r="E478" s="46" t="str">
        <f t="shared" si="16"/>
        <v/>
      </c>
      <c r="F478" s="18" t="str">
        <f t="shared" si="17"/>
        <v/>
      </c>
      <c r="G478" s="17"/>
      <c r="H478" s="46"/>
      <c r="I478" s="17"/>
    </row>
    <row r="479" spans="1:9" x14ac:dyDescent="0.25">
      <c r="A479" s="46"/>
      <c r="B479" s="46"/>
      <c r="C479" s="46" t="str">
        <f>IFERROR(VLOOKUP(B479,likelihood!A:F,6,FALSE),"")</f>
        <v/>
      </c>
      <c r="D479" s="46" t="str">
        <f>IFERROR(VLOOKUP(B479,Impact_Assessment!A:L,6,FALSE),"")</f>
        <v/>
      </c>
      <c r="E479" s="46" t="str">
        <f t="shared" si="16"/>
        <v/>
      </c>
      <c r="F479" s="18" t="str">
        <f t="shared" si="17"/>
        <v/>
      </c>
      <c r="G479" s="17"/>
      <c r="H479" s="46"/>
      <c r="I479" s="17"/>
    </row>
    <row r="480" spans="1:9" x14ac:dyDescent="0.25">
      <c r="A480" s="46"/>
      <c r="B480" s="46"/>
      <c r="C480" s="46" t="str">
        <f>IFERROR(VLOOKUP(B480,likelihood!A:F,6,FALSE),"")</f>
        <v/>
      </c>
      <c r="D480" s="46" t="str">
        <f>IFERROR(VLOOKUP(B480,Impact_Assessment!A:L,6,FALSE),"")</f>
        <v/>
      </c>
      <c r="E480" s="46" t="str">
        <f t="shared" si="16"/>
        <v/>
      </c>
      <c r="F480" s="18" t="str">
        <f t="shared" si="17"/>
        <v/>
      </c>
      <c r="G480" s="17"/>
      <c r="H480" s="46"/>
      <c r="I480" s="17"/>
    </row>
    <row r="481" spans="1:9" x14ac:dyDescent="0.25">
      <c r="A481" s="46"/>
      <c r="B481" s="46"/>
      <c r="C481" s="46" t="str">
        <f>IFERROR(VLOOKUP(B481,likelihood!A:F,6,FALSE),"")</f>
        <v/>
      </c>
      <c r="D481" s="46" t="str">
        <f>IFERROR(VLOOKUP(B481,Impact_Assessment!A:L,6,FALSE),"")</f>
        <v/>
      </c>
      <c r="E481" s="46" t="str">
        <f t="shared" si="16"/>
        <v/>
      </c>
      <c r="F481" s="18" t="str">
        <f t="shared" si="17"/>
        <v/>
      </c>
      <c r="G481" s="17"/>
      <c r="H481" s="46"/>
      <c r="I481" s="17"/>
    </row>
    <row r="482" spans="1:9" x14ac:dyDescent="0.25">
      <c r="A482" s="46"/>
      <c r="B482" s="46"/>
      <c r="C482" s="46" t="str">
        <f>IFERROR(VLOOKUP(B482,likelihood!A:F,6,FALSE),"")</f>
        <v/>
      </c>
      <c r="D482" s="46" t="str">
        <f>IFERROR(VLOOKUP(B482,Impact_Assessment!A:L,6,FALSE),"")</f>
        <v/>
      </c>
      <c r="E482" s="46" t="str">
        <f t="shared" si="16"/>
        <v/>
      </c>
      <c r="F482" s="18" t="str">
        <f t="shared" si="17"/>
        <v/>
      </c>
      <c r="G482" s="17"/>
      <c r="H482" s="46"/>
      <c r="I482" s="17"/>
    </row>
    <row r="483" spans="1:9" x14ac:dyDescent="0.25">
      <c r="A483" s="46"/>
      <c r="B483" s="46"/>
      <c r="C483" s="46" t="str">
        <f>IFERROR(VLOOKUP(B483,likelihood!A:F,6,FALSE),"")</f>
        <v/>
      </c>
      <c r="D483" s="46" t="str">
        <f>IFERROR(VLOOKUP(B483,Impact_Assessment!A:L,6,FALSE),"")</f>
        <v/>
      </c>
      <c r="E483" s="46" t="str">
        <f t="shared" si="16"/>
        <v/>
      </c>
      <c r="F483" s="18" t="str">
        <f t="shared" si="17"/>
        <v/>
      </c>
      <c r="G483" s="17"/>
      <c r="H483" s="46"/>
      <c r="I483" s="17"/>
    </row>
    <row r="484" spans="1:9" x14ac:dyDescent="0.25">
      <c r="A484" s="46"/>
      <c r="B484" s="46"/>
      <c r="C484" s="46" t="str">
        <f>IFERROR(VLOOKUP(B484,likelihood!A:F,6,FALSE),"")</f>
        <v/>
      </c>
      <c r="D484" s="46" t="str">
        <f>IFERROR(VLOOKUP(B484,Impact_Assessment!A:L,6,FALSE),"")</f>
        <v/>
      </c>
      <c r="E484" s="46" t="str">
        <f t="shared" si="16"/>
        <v/>
      </c>
      <c r="F484" s="18" t="str">
        <f t="shared" si="17"/>
        <v/>
      </c>
      <c r="G484" s="17"/>
      <c r="H484" s="46"/>
      <c r="I484" s="17"/>
    </row>
    <row r="485" spans="1:9" x14ac:dyDescent="0.25">
      <c r="A485" s="46"/>
      <c r="B485" s="46"/>
      <c r="C485" s="46" t="str">
        <f>IFERROR(VLOOKUP(B485,likelihood!A:F,6,FALSE),"")</f>
        <v/>
      </c>
      <c r="D485" s="46" t="str">
        <f>IFERROR(VLOOKUP(B485,Impact_Assessment!A:L,6,FALSE),"")</f>
        <v/>
      </c>
      <c r="E485" s="46" t="str">
        <f t="shared" si="16"/>
        <v/>
      </c>
      <c r="F485" s="18" t="str">
        <f t="shared" si="17"/>
        <v/>
      </c>
      <c r="G485" s="17"/>
      <c r="H485" s="46"/>
      <c r="I485" s="17"/>
    </row>
    <row r="486" spans="1:9" x14ac:dyDescent="0.25">
      <c r="A486" s="46"/>
      <c r="B486" s="46"/>
      <c r="C486" s="46" t="str">
        <f>IFERROR(VLOOKUP(B486,likelihood!A:F,6,FALSE),"")</f>
        <v/>
      </c>
      <c r="D486" s="46" t="str">
        <f>IFERROR(VLOOKUP(B486,Impact_Assessment!A:L,6,FALSE),"")</f>
        <v/>
      </c>
      <c r="E486" s="46" t="str">
        <f t="shared" si="16"/>
        <v/>
      </c>
      <c r="F486" s="18" t="str">
        <f t="shared" si="17"/>
        <v/>
      </c>
      <c r="G486" s="17"/>
      <c r="H486" s="46"/>
      <c r="I486" s="17"/>
    </row>
    <row r="487" spans="1:9" x14ac:dyDescent="0.25">
      <c r="A487" s="46"/>
      <c r="B487" s="46"/>
      <c r="C487" s="46" t="str">
        <f>IFERROR(VLOOKUP(B487,likelihood!A:F,6,FALSE),"")</f>
        <v/>
      </c>
      <c r="D487" s="46" t="str">
        <f>IFERROR(VLOOKUP(B487,Impact_Assessment!A:L,6,FALSE),"")</f>
        <v/>
      </c>
      <c r="E487" s="46" t="str">
        <f t="shared" si="16"/>
        <v/>
      </c>
      <c r="F487" s="18" t="str">
        <f t="shared" si="17"/>
        <v/>
      </c>
      <c r="G487" s="17"/>
      <c r="H487" s="46"/>
      <c r="I487" s="17"/>
    </row>
    <row r="488" spans="1:9" x14ac:dyDescent="0.25">
      <c r="A488" s="46"/>
      <c r="B488" s="46"/>
      <c r="C488" s="46" t="str">
        <f>IFERROR(VLOOKUP(B488,likelihood!A:F,6,FALSE),"")</f>
        <v/>
      </c>
      <c r="D488" s="46" t="str">
        <f>IFERROR(VLOOKUP(B488,Impact_Assessment!A:L,6,FALSE),"")</f>
        <v/>
      </c>
      <c r="E488" s="46" t="str">
        <f t="shared" si="16"/>
        <v/>
      </c>
      <c r="F488" s="18" t="str">
        <f t="shared" si="17"/>
        <v/>
      </c>
      <c r="G488" s="17"/>
      <c r="H488" s="46"/>
      <c r="I488" s="17"/>
    </row>
    <row r="489" spans="1:9" x14ac:dyDescent="0.25">
      <c r="A489" s="46"/>
      <c r="B489" s="46"/>
      <c r="C489" s="46" t="str">
        <f>IFERROR(VLOOKUP(B489,likelihood!A:F,6,FALSE),"")</f>
        <v/>
      </c>
      <c r="D489" s="46" t="str">
        <f>IFERROR(VLOOKUP(B489,Impact_Assessment!A:L,6,FALSE),"")</f>
        <v/>
      </c>
      <c r="E489" s="46" t="str">
        <f t="shared" si="16"/>
        <v/>
      </c>
      <c r="F489" s="18" t="str">
        <f t="shared" si="17"/>
        <v/>
      </c>
      <c r="G489" s="17"/>
      <c r="H489" s="46"/>
      <c r="I489" s="17"/>
    </row>
    <row r="490" spans="1:9" x14ac:dyDescent="0.25">
      <c r="A490" s="46"/>
      <c r="B490" s="46"/>
      <c r="C490" s="46" t="str">
        <f>IFERROR(VLOOKUP(B490,likelihood!A:F,6,FALSE),"")</f>
        <v/>
      </c>
      <c r="D490" s="46" t="str">
        <f>IFERROR(VLOOKUP(B490,Impact_Assessment!A:L,6,FALSE),"")</f>
        <v/>
      </c>
      <c r="E490" s="46" t="str">
        <f t="shared" si="16"/>
        <v/>
      </c>
      <c r="F490" s="18" t="str">
        <f t="shared" si="17"/>
        <v/>
      </c>
      <c r="G490" s="17"/>
      <c r="H490" s="46"/>
      <c r="I490" s="17"/>
    </row>
    <row r="491" spans="1:9" x14ac:dyDescent="0.25">
      <c r="A491" s="46"/>
      <c r="B491" s="46"/>
      <c r="C491" s="46" t="str">
        <f>IFERROR(VLOOKUP(B491,likelihood!A:F,6,FALSE),"")</f>
        <v/>
      </c>
      <c r="D491" s="46" t="str">
        <f>IFERROR(VLOOKUP(B491,Impact_Assessment!A:L,6,FALSE),"")</f>
        <v/>
      </c>
      <c r="E491" s="46" t="str">
        <f t="shared" si="16"/>
        <v/>
      </c>
      <c r="F491" s="18" t="str">
        <f t="shared" si="17"/>
        <v/>
      </c>
      <c r="G491" s="17"/>
      <c r="H491" s="46"/>
      <c r="I491" s="17"/>
    </row>
    <row r="492" spans="1:9" x14ac:dyDescent="0.25">
      <c r="A492" s="46"/>
      <c r="B492" s="46"/>
      <c r="C492" s="46" t="str">
        <f>IFERROR(VLOOKUP(B492,likelihood!A:F,6,FALSE),"")</f>
        <v/>
      </c>
      <c r="D492" s="46" t="str">
        <f>IFERROR(VLOOKUP(B492,Impact_Assessment!A:L,6,FALSE),"")</f>
        <v/>
      </c>
      <c r="E492" s="46" t="str">
        <f t="shared" si="16"/>
        <v/>
      </c>
      <c r="F492" s="18" t="str">
        <f t="shared" si="17"/>
        <v/>
      </c>
      <c r="G492" s="17"/>
      <c r="H492" s="46"/>
      <c r="I492" s="17"/>
    </row>
    <row r="493" spans="1:9" x14ac:dyDescent="0.25">
      <c r="A493" s="46"/>
      <c r="B493" s="46"/>
      <c r="C493" s="46" t="str">
        <f>IFERROR(VLOOKUP(B493,likelihood!A:F,6,FALSE),"")</f>
        <v/>
      </c>
      <c r="D493" s="46" t="str">
        <f>IFERROR(VLOOKUP(B493,Impact_Assessment!A:L,6,FALSE),"")</f>
        <v/>
      </c>
      <c r="E493" s="46" t="str">
        <f t="shared" si="16"/>
        <v/>
      </c>
      <c r="F493" s="18" t="str">
        <f t="shared" si="17"/>
        <v/>
      </c>
      <c r="G493" s="17"/>
      <c r="H493" s="46"/>
      <c r="I493" s="17"/>
    </row>
    <row r="494" spans="1:9" x14ac:dyDescent="0.25">
      <c r="A494" s="46"/>
      <c r="B494" s="46"/>
      <c r="C494" s="46" t="str">
        <f>IFERROR(VLOOKUP(B494,likelihood!A:F,6,FALSE),"")</f>
        <v/>
      </c>
      <c r="D494" s="46" t="str">
        <f>IFERROR(VLOOKUP(B494,Impact_Assessment!A:L,6,FALSE),"")</f>
        <v/>
      </c>
      <c r="E494" s="46" t="str">
        <f t="shared" si="16"/>
        <v/>
      </c>
      <c r="F494" s="18" t="str">
        <f t="shared" si="17"/>
        <v/>
      </c>
      <c r="G494" s="17"/>
      <c r="H494" s="46"/>
      <c r="I494" s="17"/>
    </row>
    <row r="495" spans="1:9" x14ac:dyDescent="0.25">
      <c r="A495" s="46"/>
      <c r="B495" s="46"/>
      <c r="C495" s="46" t="str">
        <f>IFERROR(VLOOKUP(B495,likelihood!A:F,6,FALSE),"")</f>
        <v/>
      </c>
      <c r="D495" s="46" t="str">
        <f>IFERROR(VLOOKUP(B495,Impact_Assessment!A:L,6,FALSE),"")</f>
        <v/>
      </c>
      <c r="E495" s="46" t="str">
        <f t="shared" si="16"/>
        <v/>
      </c>
      <c r="F495" s="18" t="str">
        <f t="shared" si="17"/>
        <v/>
      </c>
      <c r="G495" s="17"/>
      <c r="H495" s="46"/>
      <c r="I495" s="17"/>
    </row>
    <row r="496" spans="1:9" x14ac:dyDescent="0.25">
      <c r="A496" s="46"/>
      <c r="B496" s="46"/>
      <c r="C496" s="46" t="str">
        <f>IFERROR(VLOOKUP(B496,likelihood!A:F,6,FALSE),"")</f>
        <v/>
      </c>
      <c r="D496" s="46" t="str">
        <f>IFERROR(VLOOKUP(B496,Impact_Assessment!A:L,6,FALSE),"")</f>
        <v/>
      </c>
      <c r="E496" s="46" t="str">
        <f t="shared" si="16"/>
        <v/>
      </c>
      <c r="F496" s="18" t="str">
        <f t="shared" si="17"/>
        <v/>
      </c>
      <c r="G496" s="17"/>
      <c r="H496" s="46"/>
      <c r="I496" s="17"/>
    </row>
    <row r="497" spans="1:9" x14ac:dyDescent="0.25">
      <c r="A497" s="46"/>
      <c r="B497" s="46"/>
      <c r="C497" s="46" t="str">
        <f>IFERROR(VLOOKUP(B497,likelihood!A:F,6,FALSE),"")</f>
        <v/>
      </c>
      <c r="D497" s="46" t="str">
        <f>IFERROR(VLOOKUP(B497,Impact_Assessment!A:L,6,FALSE),"")</f>
        <v/>
      </c>
      <c r="E497" s="46" t="str">
        <f t="shared" si="16"/>
        <v/>
      </c>
      <c r="F497" s="18" t="str">
        <f t="shared" si="17"/>
        <v/>
      </c>
      <c r="G497" s="17"/>
      <c r="H497" s="46"/>
      <c r="I497" s="17"/>
    </row>
    <row r="498" spans="1:9" x14ac:dyDescent="0.25">
      <c r="A498" s="46"/>
      <c r="B498" s="46"/>
      <c r="C498" s="46" t="str">
        <f>IFERROR(VLOOKUP(B498,likelihood!A:F,6,FALSE),"")</f>
        <v/>
      </c>
      <c r="D498" s="46" t="str">
        <f>IFERROR(VLOOKUP(B498,Impact_Assessment!A:L,6,FALSE),"")</f>
        <v/>
      </c>
      <c r="E498" s="46" t="str">
        <f t="shared" si="16"/>
        <v/>
      </c>
      <c r="F498" s="18" t="str">
        <f t="shared" si="17"/>
        <v/>
      </c>
      <c r="G498" s="17"/>
      <c r="H498" s="46"/>
      <c r="I498" s="17"/>
    </row>
    <row r="499" spans="1:9" x14ac:dyDescent="0.25">
      <c r="A499" s="46"/>
      <c r="B499" s="46"/>
      <c r="C499" s="46" t="str">
        <f>IFERROR(VLOOKUP(B499,likelihood!A:F,6,FALSE),"")</f>
        <v/>
      </c>
      <c r="D499" s="46" t="str">
        <f>IFERROR(VLOOKUP(B499,Impact_Assessment!A:L,6,FALSE),"")</f>
        <v/>
      </c>
      <c r="E499" s="46" t="str">
        <f t="shared" si="16"/>
        <v/>
      </c>
      <c r="F499" s="18" t="str">
        <f t="shared" si="17"/>
        <v/>
      </c>
      <c r="G499" s="17"/>
      <c r="H499" s="46"/>
      <c r="I499" s="17"/>
    </row>
    <row r="500" spans="1:9" x14ac:dyDescent="0.25">
      <c r="A500" s="46"/>
      <c r="B500" s="46"/>
      <c r="C500" s="46" t="str">
        <f>IFERROR(VLOOKUP(B500,likelihood!A:F,6,FALSE),"")</f>
        <v/>
      </c>
      <c r="D500" s="46" t="str">
        <f>IFERROR(VLOOKUP(B500,Impact_Assessment!A:L,6,FALSE),"")</f>
        <v/>
      </c>
      <c r="E500" s="46" t="str">
        <f t="shared" si="16"/>
        <v/>
      </c>
      <c r="F500" s="18" t="str">
        <f t="shared" si="17"/>
        <v/>
      </c>
      <c r="G500" s="17"/>
      <c r="H500" s="46"/>
      <c r="I500" s="17"/>
    </row>
    <row r="501" spans="1:9" x14ac:dyDescent="0.25">
      <c r="A501" s="46"/>
      <c r="B501" s="46"/>
      <c r="C501" s="46" t="str">
        <f>IFERROR(VLOOKUP(B501,likelihood!A:F,6,FALSE),"")</f>
        <v/>
      </c>
      <c r="D501" s="46" t="str">
        <f>IFERROR(VLOOKUP(B501,Impact_Assessment!A:L,6,FALSE),"")</f>
        <v/>
      </c>
      <c r="E501" s="46" t="str">
        <f t="shared" si="16"/>
        <v/>
      </c>
      <c r="F501" s="18" t="str">
        <f t="shared" si="17"/>
        <v/>
      </c>
      <c r="G501" s="17"/>
      <c r="H501" s="46"/>
      <c r="I501" s="17"/>
    </row>
  </sheetData>
  <sheetProtection algorithmName="SHA-512" hashValue="6+MBlmXVcPyyaD+zSv4rWIDy/tYneeySRhZZzUrtvc8VE7GIfkO0XhGEijxTnyk0+nCDEliscu6AjIk3Dya64Q==" saltValue="OnEX8YvTF36JwiA86zBkCw==" spinCount="100000" sheet="1" objects="1" scenarios="1" selectLockedCells="1"/>
  <mergeCells count="2">
    <mergeCell ref="J1:M3"/>
    <mergeCell ref="L4:M4"/>
  </mergeCells>
  <conditionalFormatting sqref="F2:F501">
    <cfRule type="cellIs" dxfId="15" priority="4" operator="equal">
      <formula>"High"</formula>
    </cfRule>
    <cfRule type="cellIs" dxfId="14" priority="5" stopIfTrue="1" operator="equal">
      <formula>"Medium"</formula>
    </cfRule>
    <cfRule type="cellIs" dxfId="13" priority="6" operator="equal">
      <formula>"Low"</formula>
    </cfRule>
  </conditionalFormatting>
  <conditionalFormatting sqref="F1:F1048576">
    <cfRule type="cellIs" dxfId="12" priority="1" operator="equal">
      <formula>"Critical"</formula>
    </cfRule>
  </conditionalFormatting>
  <dataValidations count="2">
    <dataValidation allowBlank="1" showInputMessage="1" showErrorMessage="1" promptTitle="Risk appetite level " prompt="According totop managment decision is 10" sqref="H2:H39"/>
    <dataValidation type="list" allowBlank="1" showInputMessage="1" showErrorMessage="1" sqref="I2:I35">
      <formula1>"Mitigate, Transfer,Avoid, Accept"</formula1>
    </dataValidation>
  </dataValidations>
  <pageMargins left="0.75" right="0.75" top="1" bottom="1" header="0.5" footer="0.5"/>
  <pageSetup paperSize="9" orientation="portrait" r:id="rId1"/>
  <ignoredErrors>
    <ignoredError sqref="H17"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L129"/>
  <sheetViews>
    <sheetView topLeftCell="B1" workbookViewId="0">
      <selection activeCell="G2" sqref="G2"/>
    </sheetView>
  </sheetViews>
  <sheetFormatPr defaultRowHeight="13.8" x14ac:dyDescent="0.25"/>
  <cols>
    <col min="1" max="1" width="43.09765625" style="59" customWidth="1"/>
    <col min="2" max="2" width="14.796875" style="60" customWidth="1"/>
    <col min="3" max="3" width="24" style="60" customWidth="1"/>
    <col min="4" max="4" width="19.796875" style="17" customWidth="1"/>
    <col min="5" max="5" width="13.8984375" style="17" customWidth="1"/>
    <col min="6" max="6" width="11.5" style="17" customWidth="1"/>
    <col min="7" max="7" width="13.3984375" style="17" customWidth="1"/>
    <col min="8" max="8" width="14.09765625" style="17" customWidth="1"/>
    <col min="9" max="9" width="12.296875" style="60" customWidth="1"/>
    <col min="10" max="10" width="8.796875" style="60" customWidth="1"/>
    <col min="11" max="11" width="11.5" style="37" customWidth="1"/>
    <col min="12" max="12" width="16.19921875" style="37" customWidth="1"/>
    <col min="13" max="16384" width="8.796875" style="5"/>
  </cols>
  <sheetData>
    <row r="1" spans="1:12" s="21" customFormat="1" ht="41.4" x14ac:dyDescent="0.25">
      <c r="A1" s="49" t="s">
        <v>86</v>
      </c>
      <c r="B1" s="49" t="s">
        <v>120</v>
      </c>
      <c r="C1" s="49" t="s">
        <v>87</v>
      </c>
      <c r="D1" s="50" t="s">
        <v>85</v>
      </c>
      <c r="E1" s="50" t="s">
        <v>91</v>
      </c>
      <c r="F1" s="50" t="s">
        <v>92</v>
      </c>
      <c r="G1" s="50" t="s">
        <v>94</v>
      </c>
      <c r="H1" s="50" t="s">
        <v>93</v>
      </c>
      <c r="I1" s="49" t="s">
        <v>95</v>
      </c>
      <c r="J1" s="49" t="s">
        <v>47</v>
      </c>
      <c r="K1" s="37" t="s">
        <v>96</v>
      </c>
      <c r="L1" s="37" t="s">
        <v>97</v>
      </c>
    </row>
    <row r="2" spans="1:12" ht="27.6" x14ac:dyDescent="0.25">
      <c r="A2" s="59" t="str">
        <f>IF(Inherent_Risk_Scores!A2="","",Inherent_Risk_Scores!A2)</f>
        <v>Citizen personal data leaks due to weak authentication controls</v>
      </c>
      <c r="B2" s="60">
        <f>IF(Inherent_Risk_Scores!E2="","",Inherent_Risk_Scores!E2)</f>
        <v>12</v>
      </c>
      <c r="C2" s="60" t="str">
        <f>IF(Inherent_Risk_Scores!I2="","",Inherent_Risk_Scores!I2)</f>
        <v>Mitigate</v>
      </c>
      <c r="D2" s="22" t="s">
        <v>147</v>
      </c>
      <c r="E2" s="17" t="s">
        <v>143</v>
      </c>
      <c r="F2" s="17" t="s">
        <v>148</v>
      </c>
      <c r="G2" s="17">
        <v>0</v>
      </c>
      <c r="H2" s="17">
        <v>3</v>
      </c>
      <c r="I2" s="60">
        <f>IF(OR(Impact_Assessment!L2="",G2=""),"",MAX(1,Impact_Assessment!L2-G2))</f>
        <v>3</v>
      </c>
      <c r="J2" s="60">
        <f>IF(OR(likelihood!F2="",H2=""),"",MAX(1,likelihood!F2-H2))</f>
        <v>1</v>
      </c>
      <c r="K2" s="37">
        <f>IF(I2&lt;&gt;"",I2*J2,"")</f>
        <v>3</v>
      </c>
      <c r="L2" s="37" t="str">
        <f>IF(K2="","",
 IF(K2&lt;=5,"Low", IF(K2&lt;=10,"Medium",
 IF(K2&lt;=15,"High","Critical"))))</f>
        <v>Low</v>
      </c>
    </row>
    <row r="3" spans="1:12" x14ac:dyDescent="0.25">
      <c r="A3" s="59" t="str">
        <f>IF(Inherent_Risk_Scores!A3="","",Inherent_Risk_Scores!A3)</f>
        <v/>
      </c>
      <c r="B3" s="60" t="str">
        <f>IF(Inherent_Risk_Scores!E3="","",Inherent_Risk_Scores!E3)</f>
        <v/>
      </c>
      <c r="C3" s="60" t="str">
        <f>IF(Inherent_Risk_Scores!I3="","",Inherent_Risk_Scores!I3)</f>
        <v/>
      </c>
      <c r="I3" s="60" t="str">
        <f>IF(OR(Impact_Assessment!L3="",G3=""),"",MAX(1,Impact_Assessment!L3-G3))</f>
        <v/>
      </c>
      <c r="J3" s="60" t="str">
        <f>IF(OR(likelihood!F3="",H3=""),"",MAX(1,likelihood!F3-H3))</f>
        <v/>
      </c>
      <c r="K3" s="37" t="str">
        <f t="shared" ref="K3:K66" si="0">IF(I3&lt;&gt;"",I3*J3,"")</f>
        <v/>
      </c>
      <c r="L3" s="37" t="str">
        <f>IF(K3="","",
 IF(K3&lt;=5,"Low", IF(K3&lt;=10,"Medium",
 IF(K3&lt;=15,"High","Critical"))))</f>
        <v/>
      </c>
    </row>
    <row r="4" spans="1:12" x14ac:dyDescent="0.25">
      <c r="A4" s="59" t="str">
        <f>IF(Inherent_Risk_Scores!A4="","",Inherent_Risk_Scores!A4)</f>
        <v/>
      </c>
      <c r="B4" s="60" t="str">
        <f>IF(Inherent_Risk_Scores!E4="","",Inherent_Risk_Scores!E4)</f>
        <v/>
      </c>
      <c r="C4" s="60" t="str">
        <f>IF(Inherent_Risk_Scores!I4="","",Inherent_Risk_Scores!I4)</f>
        <v/>
      </c>
      <c r="I4" s="60" t="str">
        <f>IF(OR(Impact_Assessment!L4="",G4=""),"",MAX(1,Impact_Assessment!L4-G4))</f>
        <v/>
      </c>
      <c r="J4" s="60" t="str">
        <f>IF(OR(likelihood!F4="",H4=""),"",MAX(1,likelihood!F4-H4))</f>
        <v/>
      </c>
      <c r="K4" s="37" t="str">
        <f t="shared" si="0"/>
        <v/>
      </c>
      <c r="L4" s="37" t="str">
        <f t="shared" ref="L4:L41" si="1">IF(K4="","",
 IF(K4&lt;=5,"Low", IF(K4&lt;=10,"Medium",
 IF(K4&lt;=15,"High","Critical"))))</f>
        <v/>
      </c>
    </row>
    <row r="5" spans="1:12" x14ac:dyDescent="0.25">
      <c r="A5" s="59" t="str">
        <f>IF(Inherent_Risk_Scores!A5="","",Inherent_Risk_Scores!A5)</f>
        <v/>
      </c>
      <c r="B5" s="60" t="str">
        <f>IF(Inherent_Risk_Scores!E5="","",Inherent_Risk_Scores!E5)</f>
        <v/>
      </c>
      <c r="C5" s="60" t="str">
        <f>IF(Inherent_Risk_Scores!I5="","",Inherent_Risk_Scores!I5)</f>
        <v/>
      </c>
      <c r="I5" s="60" t="str">
        <f>IF(OR(Impact_Assessment!L5="",G5=""),"",MAX(1,Impact_Assessment!L5-G5))</f>
        <v/>
      </c>
      <c r="J5" s="60" t="str">
        <f>IF(OR(likelihood!F5="",H5=""),"",MAX(1,likelihood!F5-H5))</f>
        <v/>
      </c>
      <c r="K5" s="37" t="str">
        <f t="shared" si="0"/>
        <v/>
      </c>
      <c r="L5" s="37" t="str">
        <f t="shared" si="1"/>
        <v/>
      </c>
    </row>
    <row r="6" spans="1:12" x14ac:dyDescent="0.25">
      <c r="A6" s="59" t="str">
        <f>IF(Inherent_Risk_Scores!A6="","",Inherent_Risk_Scores!A6)</f>
        <v/>
      </c>
      <c r="B6" s="60" t="str">
        <f>IF(Inherent_Risk_Scores!E6="","",Inherent_Risk_Scores!E6)</f>
        <v/>
      </c>
      <c r="C6" s="60" t="str">
        <f>IF(Inherent_Risk_Scores!I6="","",Inherent_Risk_Scores!I6)</f>
        <v/>
      </c>
      <c r="I6" s="60" t="str">
        <f>IF(OR(Impact_Assessment!L6="",G6=""),"",MAX(1,Impact_Assessment!L6-G6))</f>
        <v/>
      </c>
      <c r="J6" s="60" t="str">
        <f>IF(OR(likelihood!F6="",H6=""),"",MAX(1,likelihood!F6-H6))</f>
        <v/>
      </c>
      <c r="K6" s="37" t="str">
        <f t="shared" si="0"/>
        <v/>
      </c>
      <c r="L6" s="37" t="str">
        <f t="shared" si="1"/>
        <v/>
      </c>
    </row>
    <row r="7" spans="1:12" x14ac:dyDescent="0.25">
      <c r="A7" s="59" t="str">
        <f>IF(Inherent_Risk_Scores!A7="","",Inherent_Risk_Scores!A7)</f>
        <v/>
      </c>
      <c r="B7" s="60" t="str">
        <f>IF(Inherent_Risk_Scores!E7="","",Inherent_Risk_Scores!E7)</f>
        <v/>
      </c>
      <c r="C7" s="60" t="str">
        <f>IF(Inherent_Risk_Scores!I7="","",Inherent_Risk_Scores!I7)</f>
        <v/>
      </c>
      <c r="I7" s="60" t="str">
        <f>IF(OR(Impact_Assessment!L7="",G7=""),"",MAX(1,Impact_Assessment!L7-G7))</f>
        <v/>
      </c>
      <c r="J7" s="60" t="str">
        <f>IF(OR(likelihood!F7="",H7=""),"",MAX(1,likelihood!F7-H7))</f>
        <v/>
      </c>
      <c r="K7" s="37" t="str">
        <f t="shared" si="0"/>
        <v/>
      </c>
      <c r="L7" s="37" t="str">
        <f t="shared" si="1"/>
        <v/>
      </c>
    </row>
    <row r="8" spans="1:12" x14ac:dyDescent="0.25">
      <c r="A8" s="59" t="str">
        <f>IF(Inherent_Risk_Scores!A8="","",Inherent_Risk_Scores!A8)</f>
        <v/>
      </c>
      <c r="B8" s="60" t="str">
        <f>IF(Inherent_Risk_Scores!E8="","",Inherent_Risk_Scores!E8)</f>
        <v/>
      </c>
      <c r="C8" s="60" t="str">
        <f>IF(Inherent_Risk_Scores!I8="","",Inherent_Risk_Scores!I8)</f>
        <v/>
      </c>
      <c r="I8" s="60" t="str">
        <f>IF(OR(Impact_Assessment!L8="",G8=""),"",MAX(1,Impact_Assessment!L8-G8))</f>
        <v/>
      </c>
      <c r="J8" s="60" t="str">
        <f>IF(OR(likelihood!F8="",H8=""),"",MAX(1,likelihood!F8-H8))</f>
        <v/>
      </c>
      <c r="K8" s="37" t="str">
        <f t="shared" si="0"/>
        <v/>
      </c>
      <c r="L8" s="37" t="str">
        <f t="shared" si="1"/>
        <v/>
      </c>
    </row>
    <row r="9" spans="1:12" x14ac:dyDescent="0.25">
      <c r="A9" s="59" t="str">
        <f>IF(Inherent_Risk_Scores!A9="","",Inherent_Risk_Scores!A9)</f>
        <v/>
      </c>
      <c r="B9" s="60" t="str">
        <f>IF(Inherent_Risk_Scores!E9="","",Inherent_Risk_Scores!E9)</f>
        <v/>
      </c>
      <c r="C9" s="60" t="str">
        <f>IF(Inherent_Risk_Scores!I9="","",Inherent_Risk_Scores!I9)</f>
        <v/>
      </c>
      <c r="I9" s="60" t="str">
        <f>IF(OR(Impact_Assessment!L9="",G9=""),"",MAX(1,Impact_Assessment!L9-G9))</f>
        <v/>
      </c>
      <c r="J9" s="60" t="str">
        <f>IF(OR(likelihood!F9="",H9=""),"",MAX(1,likelihood!F9-H9))</f>
        <v/>
      </c>
      <c r="K9" s="37" t="str">
        <f t="shared" si="0"/>
        <v/>
      </c>
      <c r="L9" s="37" t="str">
        <f t="shared" si="1"/>
        <v/>
      </c>
    </row>
    <row r="10" spans="1:12" x14ac:dyDescent="0.25">
      <c r="A10" s="59" t="str">
        <f>IF(Inherent_Risk_Scores!A10="","",Inherent_Risk_Scores!A10)</f>
        <v/>
      </c>
      <c r="B10" s="60" t="str">
        <f>IF(Inherent_Risk_Scores!E10="","",Inherent_Risk_Scores!E10)</f>
        <v/>
      </c>
      <c r="C10" s="60" t="str">
        <f>IF(Inherent_Risk_Scores!I10="","",Inherent_Risk_Scores!I10)</f>
        <v/>
      </c>
      <c r="I10" s="60" t="str">
        <f>IF(OR(Impact_Assessment!L10="",G10=""),"",MAX(1,Impact_Assessment!L10-G10))</f>
        <v/>
      </c>
      <c r="J10" s="60" t="str">
        <f>IF(OR(likelihood!F10="",H10=""),"",MAX(1,likelihood!F10-H10))</f>
        <v/>
      </c>
      <c r="K10" s="37" t="str">
        <f t="shared" si="0"/>
        <v/>
      </c>
      <c r="L10" s="37" t="str">
        <f t="shared" si="1"/>
        <v/>
      </c>
    </row>
    <row r="11" spans="1:12" x14ac:dyDescent="0.25">
      <c r="A11" s="59" t="str">
        <f>IF(Inherent_Risk_Scores!A11="","",Inherent_Risk_Scores!A11)</f>
        <v/>
      </c>
      <c r="B11" s="60" t="str">
        <f>IF(Inherent_Risk_Scores!E11="","",Inherent_Risk_Scores!E11)</f>
        <v/>
      </c>
      <c r="C11" s="60" t="str">
        <f>IF(Inherent_Risk_Scores!I11="","",Inherent_Risk_Scores!I11)</f>
        <v/>
      </c>
      <c r="I11" s="60" t="str">
        <f>IF(OR(Impact_Assessment!L11="",G11=""),"",MAX(1,Impact_Assessment!L11-G11))</f>
        <v/>
      </c>
      <c r="J11" s="60" t="str">
        <f>IF(OR(likelihood!F11="",H11=""),"",MAX(1,likelihood!F11-H11))</f>
        <v/>
      </c>
      <c r="K11" s="37" t="str">
        <f t="shared" si="0"/>
        <v/>
      </c>
      <c r="L11" s="37" t="str">
        <f t="shared" si="1"/>
        <v/>
      </c>
    </row>
    <row r="12" spans="1:12" x14ac:dyDescent="0.25">
      <c r="A12" s="59" t="str">
        <f>IF(Inherent_Risk_Scores!A12="","",Inherent_Risk_Scores!A12)</f>
        <v/>
      </c>
      <c r="B12" s="60" t="str">
        <f>IF(Inherent_Risk_Scores!E12="","",Inherent_Risk_Scores!E12)</f>
        <v/>
      </c>
      <c r="C12" s="60" t="str">
        <f>IF(Inherent_Risk_Scores!I12="","",Inherent_Risk_Scores!I12)</f>
        <v/>
      </c>
      <c r="K12" s="37" t="str">
        <f t="shared" si="0"/>
        <v/>
      </c>
      <c r="L12" s="37" t="str">
        <f t="shared" si="1"/>
        <v/>
      </c>
    </row>
    <row r="13" spans="1:12" x14ac:dyDescent="0.25">
      <c r="A13" s="59" t="str">
        <f>IF(Inherent_Risk_Scores!A13="","",Inherent_Risk_Scores!A13)</f>
        <v/>
      </c>
      <c r="B13" s="60" t="str">
        <f>IF(Inherent_Risk_Scores!E13="","",Inherent_Risk_Scores!E13)</f>
        <v/>
      </c>
      <c r="C13" s="60" t="str">
        <f>IF(Inherent_Risk_Scores!I13="","",Inherent_Risk_Scores!I13)</f>
        <v/>
      </c>
      <c r="I13" s="60" t="str">
        <f>IF(OR(Impact_Assessment!L13="",G13=""),"",MAX(1,Impact_Assessment!L13-G13))</f>
        <v/>
      </c>
      <c r="J13" s="60" t="str">
        <f>IF(OR(likelihood!F13="",H13=""),"",MAX(1,likelihood!F13-H13))</f>
        <v/>
      </c>
      <c r="K13" s="37" t="str">
        <f t="shared" si="0"/>
        <v/>
      </c>
      <c r="L13" s="37" t="str">
        <f t="shared" si="1"/>
        <v/>
      </c>
    </row>
    <row r="14" spans="1:12" x14ac:dyDescent="0.25">
      <c r="A14" s="59" t="str">
        <f>IF(Inherent_Risk_Scores!A14="","",Inherent_Risk_Scores!A14)</f>
        <v/>
      </c>
      <c r="B14" s="60" t="str">
        <f>IF(Inherent_Risk_Scores!E14="","",Inherent_Risk_Scores!E14)</f>
        <v/>
      </c>
      <c r="C14" s="60" t="str">
        <f>IF(Inherent_Risk_Scores!I14="","",Inherent_Risk_Scores!I14)</f>
        <v/>
      </c>
      <c r="I14" s="60" t="str">
        <f>IF(OR(Impact_Assessment!L14="",G14=""),"",MAX(1,Impact_Assessment!L14-G14))</f>
        <v/>
      </c>
      <c r="J14" s="60" t="str">
        <f>IF(OR(likelihood!F14="",H14=""),"",MAX(1,likelihood!F14-H14))</f>
        <v/>
      </c>
      <c r="K14" s="37" t="str">
        <f t="shared" si="0"/>
        <v/>
      </c>
      <c r="L14" s="37" t="str">
        <f t="shared" si="1"/>
        <v/>
      </c>
    </row>
    <row r="15" spans="1:12" x14ac:dyDescent="0.25">
      <c r="A15" s="59" t="str">
        <f>IF(Inherent_Risk_Scores!A15="","",Inherent_Risk_Scores!A15)</f>
        <v/>
      </c>
      <c r="B15" s="60" t="str">
        <f>IF(Inherent_Risk_Scores!E15="","",Inherent_Risk_Scores!E15)</f>
        <v/>
      </c>
      <c r="C15" s="60" t="str">
        <f>IF(Inherent_Risk_Scores!I16="","",Inherent_Risk_Scores!I16)</f>
        <v/>
      </c>
      <c r="I15" s="60" t="str">
        <f>IF(OR(Impact_Assessment!L15="",G15=""),"",MAX(1,Impact_Assessment!L15-G15))</f>
        <v/>
      </c>
      <c r="J15" s="60" t="str">
        <f>IF(OR(likelihood!F15="",H15=""),"",MAX(1,likelihood!F15-H15))</f>
        <v/>
      </c>
      <c r="K15" s="37" t="str">
        <f t="shared" si="0"/>
        <v/>
      </c>
      <c r="L15" s="37" t="str">
        <f t="shared" si="1"/>
        <v/>
      </c>
    </row>
    <row r="16" spans="1:12" x14ac:dyDescent="0.25">
      <c r="A16" s="59" t="str">
        <f>IF(Inherent_Risk_Scores!A16="","",Inherent_Risk_Scores!A16)</f>
        <v/>
      </c>
      <c r="B16" s="60" t="str">
        <f>IF(Inherent_Risk_Scores!E16="","",Inherent_Risk_Scores!E16)</f>
        <v/>
      </c>
      <c r="C16" s="60" t="str">
        <f>IF(Inherent_Risk_Scores!I17="","",Inherent_Risk_Scores!I17)</f>
        <v/>
      </c>
      <c r="I16" s="60" t="str">
        <f>IF(OR(Impact_Assessment!L16="",G16=""),"",MAX(1,Impact_Assessment!L16-G16))</f>
        <v/>
      </c>
      <c r="J16" s="60" t="str">
        <f>IF(OR(likelihood!F16="",H16=""),"",MAX(1,likelihood!F16-H16))</f>
        <v/>
      </c>
      <c r="K16" s="37" t="str">
        <f t="shared" si="0"/>
        <v/>
      </c>
      <c r="L16" s="37" t="str">
        <f t="shared" si="1"/>
        <v/>
      </c>
    </row>
    <row r="17" spans="1:12" x14ac:dyDescent="0.25">
      <c r="A17" s="59" t="str">
        <f>IF(Inherent_Risk_Scores!A17="","",Inherent_Risk_Scores!A17)</f>
        <v/>
      </c>
      <c r="B17" s="60" t="str">
        <f>IF(Inherent_Risk_Scores!E17="","",Inherent_Risk_Scores!E17)</f>
        <v/>
      </c>
      <c r="C17" s="60" t="str">
        <f>IF(Inherent_Risk_Scores!I18="","",Inherent_Risk_Scores!I18)</f>
        <v/>
      </c>
      <c r="I17" s="60" t="str">
        <f>IF(OR(Impact_Assessment!L17="",G17=""),"",MAX(1,Impact_Assessment!L17-G17))</f>
        <v/>
      </c>
      <c r="J17" s="60" t="str">
        <f>IF(OR(likelihood!F17="",H17=""),"",MAX(1,likelihood!F17-H17))</f>
        <v/>
      </c>
      <c r="K17" s="37" t="str">
        <f t="shared" si="0"/>
        <v/>
      </c>
      <c r="L17" s="37" t="str">
        <f t="shared" si="1"/>
        <v/>
      </c>
    </row>
    <row r="18" spans="1:12" x14ac:dyDescent="0.25">
      <c r="A18" s="59" t="str">
        <f>IF(Inherent_Risk_Scores!A18="","",Inherent_Risk_Scores!A18)</f>
        <v/>
      </c>
      <c r="B18" s="60" t="str">
        <f>IF(Inherent_Risk_Scores!E18="","",Inherent_Risk_Scores!E18)</f>
        <v/>
      </c>
      <c r="C18" s="60" t="str">
        <f>IF(Inherent_Risk_Scores!I19="","",Inherent_Risk_Scores!I19)</f>
        <v/>
      </c>
      <c r="I18" s="60" t="str">
        <f>IF(OR(Impact_Assessment!L18="",G18=""),"",MAX(1,Impact_Assessment!L18-G18))</f>
        <v/>
      </c>
      <c r="J18" s="60" t="str">
        <f>IF(OR(likelihood!F18="",H18=""),"",MAX(1,likelihood!F18-H18))</f>
        <v/>
      </c>
      <c r="K18" s="37" t="str">
        <f t="shared" si="0"/>
        <v/>
      </c>
      <c r="L18" s="37" t="str">
        <f t="shared" si="1"/>
        <v/>
      </c>
    </row>
    <row r="19" spans="1:12" x14ac:dyDescent="0.25">
      <c r="A19" s="59" t="str">
        <f>IF(Inherent_Risk_Scores!A19="","",Inherent_Risk_Scores!A19)</f>
        <v/>
      </c>
      <c r="B19" s="60" t="str">
        <f>IF(Inherent_Risk_Scores!E19="","",Inherent_Risk_Scores!E19)</f>
        <v/>
      </c>
      <c r="C19" s="60" t="str">
        <f>IF(Inherent_Risk_Scores!I20="","",Inherent_Risk_Scores!I20)</f>
        <v/>
      </c>
      <c r="I19" s="60" t="str">
        <f>IF(OR(Impact_Assessment!L19="",G19=""),"",MAX(1,Impact_Assessment!L19-G19))</f>
        <v/>
      </c>
      <c r="J19" s="60" t="str">
        <f>IF(OR(likelihood!F19="",H19=""),"",MAX(1,likelihood!F19-H19))</f>
        <v/>
      </c>
      <c r="K19" s="37" t="str">
        <f t="shared" si="0"/>
        <v/>
      </c>
      <c r="L19" s="37" t="str">
        <f t="shared" si="1"/>
        <v/>
      </c>
    </row>
    <row r="20" spans="1:12" x14ac:dyDescent="0.25">
      <c r="A20" s="59" t="str">
        <f>IF(Inherent_Risk_Scores!A20="","",Inherent_Risk_Scores!A20)</f>
        <v/>
      </c>
      <c r="B20" s="60" t="str">
        <f>IF(Inherent_Risk_Scores!E20="","",Inherent_Risk_Scores!E20)</f>
        <v/>
      </c>
      <c r="C20" s="60" t="str">
        <f>IF(Inherent_Risk_Scores!I21="","",Inherent_Risk_Scores!I21)</f>
        <v/>
      </c>
      <c r="I20" s="60" t="str">
        <f>IF(OR(Impact_Assessment!L20="",G20=""),"",MAX(1,Impact_Assessment!L20-G20))</f>
        <v/>
      </c>
      <c r="J20" s="60" t="str">
        <f>IF(OR(likelihood!F20="",H20=""),"",MAX(1,likelihood!F20-H20))</f>
        <v/>
      </c>
      <c r="K20" s="37" t="str">
        <f t="shared" si="0"/>
        <v/>
      </c>
      <c r="L20" s="37" t="str">
        <f t="shared" si="1"/>
        <v/>
      </c>
    </row>
    <row r="21" spans="1:12" x14ac:dyDescent="0.25">
      <c r="A21" s="59" t="str">
        <f>IF(Inherent_Risk_Scores!A21="","",Inherent_Risk_Scores!A21)</f>
        <v/>
      </c>
      <c r="B21" s="60" t="str">
        <f>IF(Inherent_Risk_Scores!E21="","",Inherent_Risk_Scores!E21)</f>
        <v/>
      </c>
      <c r="C21" s="60" t="str">
        <f>IF(Inherent_Risk_Scores!I22="","",Inherent_Risk_Scores!I22)</f>
        <v/>
      </c>
      <c r="I21" s="60" t="str">
        <f>IF(OR(Impact_Assessment!L21="",G21=""),"",MAX(1,Impact_Assessment!L21-G21))</f>
        <v/>
      </c>
      <c r="J21" s="60" t="str">
        <f>IF(OR(likelihood!F21="",H21=""),"",MAX(1,likelihood!F21-H21))</f>
        <v/>
      </c>
      <c r="K21" s="37" t="str">
        <f t="shared" si="0"/>
        <v/>
      </c>
      <c r="L21" s="37" t="str">
        <f t="shared" si="1"/>
        <v/>
      </c>
    </row>
    <row r="22" spans="1:12" x14ac:dyDescent="0.25">
      <c r="A22" s="59" t="str">
        <f>IF(Inherent_Risk_Scores!A22="","",Inherent_Risk_Scores!A22)</f>
        <v/>
      </c>
      <c r="B22" s="60" t="str">
        <f>IF(Inherent_Risk_Scores!E22="","",Inherent_Risk_Scores!E22)</f>
        <v/>
      </c>
      <c r="C22" s="60" t="str">
        <f>IF(Inherent_Risk_Scores!I23="","",Inherent_Risk_Scores!I23)</f>
        <v/>
      </c>
      <c r="I22" s="60" t="str">
        <f>IF(OR(Impact_Assessment!L22="",G22=""),"",MAX(1,Impact_Assessment!L22-G22))</f>
        <v/>
      </c>
      <c r="J22" s="60" t="str">
        <f>IF(OR(likelihood!F22="",H22=""),"",MAX(1,likelihood!F22-H22))</f>
        <v/>
      </c>
      <c r="K22" s="37" t="str">
        <f t="shared" si="0"/>
        <v/>
      </c>
      <c r="L22" s="37" t="str">
        <f t="shared" si="1"/>
        <v/>
      </c>
    </row>
    <row r="23" spans="1:12" x14ac:dyDescent="0.25">
      <c r="A23" s="59" t="str">
        <f>IF(Inherent_Risk_Scores!A23="","",Inherent_Risk_Scores!A23)</f>
        <v/>
      </c>
      <c r="B23" s="60" t="str">
        <f>IF(Inherent_Risk_Scores!E23="","",Inherent_Risk_Scores!E23)</f>
        <v/>
      </c>
      <c r="C23" s="60" t="str">
        <f>IF(Inherent_Risk_Scores!I24="","",Inherent_Risk_Scores!I24)</f>
        <v/>
      </c>
      <c r="I23" s="60" t="str">
        <f>IF(OR(Impact_Assessment!L23="",G23=""),"",MAX(1,Impact_Assessment!L23-G23))</f>
        <v/>
      </c>
      <c r="J23" s="60" t="str">
        <f>IF(OR(likelihood!F23="",H23=""),"",MAX(1,likelihood!F23-H23))</f>
        <v/>
      </c>
      <c r="K23" s="37" t="str">
        <f t="shared" si="0"/>
        <v/>
      </c>
      <c r="L23" s="37" t="str">
        <f t="shared" si="1"/>
        <v/>
      </c>
    </row>
    <row r="24" spans="1:12" x14ac:dyDescent="0.25">
      <c r="A24" s="59" t="str">
        <f>IF(Inherent_Risk_Scores!A24="","",Inherent_Risk_Scores!A24)</f>
        <v/>
      </c>
      <c r="B24" s="60" t="str">
        <f>IF(Inherent_Risk_Scores!E24="","",Inherent_Risk_Scores!E24)</f>
        <v/>
      </c>
      <c r="C24" s="60" t="str">
        <f>IF(Inherent_Risk_Scores!I25="","",Inherent_Risk_Scores!I25)</f>
        <v/>
      </c>
      <c r="I24" s="60" t="str">
        <f>IF(OR(Impact_Assessment!L24="",G24=""),"",MAX(1,Impact_Assessment!L24-G24))</f>
        <v/>
      </c>
      <c r="J24" s="60" t="str">
        <f>IF(OR(likelihood!F24="",H24=""),"",MAX(1,likelihood!F24-H24))</f>
        <v/>
      </c>
      <c r="K24" s="37" t="str">
        <f t="shared" si="0"/>
        <v/>
      </c>
      <c r="L24" s="37" t="str">
        <f t="shared" si="1"/>
        <v/>
      </c>
    </row>
    <row r="25" spans="1:12" x14ac:dyDescent="0.25">
      <c r="A25" s="59" t="str">
        <f>IF(Inherent_Risk_Scores!A25="","",Inherent_Risk_Scores!A25)</f>
        <v/>
      </c>
      <c r="B25" s="60" t="str">
        <f>IF(Inherent_Risk_Scores!E25="","",Inherent_Risk_Scores!E25)</f>
        <v/>
      </c>
      <c r="C25" s="60" t="str">
        <f>IF(Inherent_Risk_Scores!I26="","",Inherent_Risk_Scores!I26)</f>
        <v/>
      </c>
      <c r="I25" s="60" t="str">
        <f>IF(OR(Impact_Assessment!L25="",G25=""),"",MAX(1,Impact_Assessment!L25-G25))</f>
        <v/>
      </c>
      <c r="J25" s="60" t="str">
        <f>IF(OR(likelihood!F25="",H25=""),"",MAX(1,likelihood!F25-H25))</f>
        <v/>
      </c>
      <c r="K25" s="37" t="str">
        <f t="shared" si="0"/>
        <v/>
      </c>
      <c r="L25" s="37" t="str">
        <f t="shared" si="1"/>
        <v/>
      </c>
    </row>
    <row r="26" spans="1:12" x14ac:dyDescent="0.25">
      <c r="A26" s="59" t="str">
        <f>IF(Inherent_Risk_Scores!A26="","",Inherent_Risk_Scores!A26)</f>
        <v/>
      </c>
      <c r="B26" s="60" t="str">
        <f>IF(Inherent_Risk_Scores!E26="","",Inherent_Risk_Scores!E26)</f>
        <v/>
      </c>
      <c r="C26" s="60" t="str">
        <f>IF(Inherent_Risk_Scores!I27="","",Inherent_Risk_Scores!I27)</f>
        <v/>
      </c>
      <c r="I26" s="60" t="str">
        <f>IF(OR(Impact_Assessment!L26="",G26=""),"",MAX(1,Impact_Assessment!L26-G26))</f>
        <v/>
      </c>
      <c r="J26" s="60" t="str">
        <f>IF(OR(likelihood!F26="",H26=""),"",MAX(1,likelihood!F26-H26))</f>
        <v/>
      </c>
      <c r="K26" s="37" t="str">
        <f t="shared" si="0"/>
        <v/>
      </c>
      <c r="L26" s="37" t="str">
        <f t="shared" si="1"/>
        <v/>
      </c>
    </row>
    <row r="27" spans="1:12" x14ac:dyDescent="0.25">
      <c r="A27" s="59" t="str">
        <f>IF(Inherent_Risk_Scores!A27="","",Inherent_Risk_Scores!A27)</f>
        <v/>
      </c>
      <c r="B27" s="60" t="str">
        <f>IF(Inherent_Risk_Scores!E27="","",Inherent_Risk_Scores!E27)</f>
        <v/>
      </c>
      <c r="C27" s="60" t="str">
        <f>IF(Inherent_Risk_Scores!I28="","",Inherent_Risk_Scores!I28)</f>
        <v/>
      </c>
      <c r="I27" s="60" t="str">
        <f>IF(OR(Impact_Assessment!L27="",G27=""),"",MAX(1,Impact_Assessment!L27-G27))</f>
        <v/>
      </c>
      <c r="J27" s="60" t="str">
        <f>IF(OR(likelihood!F27="",H27=""),"",MAX(1,likelihood!F27-H27))</f>
        <v/>
      </c>
      <c r="K27" s="37" t="str">
        <f t="shared" si="0"/>
        <v/>
      </c>
      <c r="L27" s="37" t="str">
        <f t="shared" si="1"/>
        <v/>
      </c>
    </row>
    <row r="28" spans="1:12" x14ac:dyDescent="0.25">
      <c r="A28" s="59" t="str">
        <f>IF(Inherent_Risk_Scores!A28="","",Inherent_Risk_Scores!A28)</f>
        <v/>
      </c>
      <c r="B28" s="60" t="str">
        <f>IF(Inherent_Risk_Scores!E28="","",Inherent_Risk_Scores!E28)</f>
        <v/>
      </c>
      <c r="C28" s="60" t="str">
        <f>IF(Inherent_Risk_Scores!I29="","",Inherent_Risk_Scores!I29)</f>
        <v/>
      </c>
      <c r="I28" s="60" t="str">
        <f>IF(OR(Impact_Assessment!L28="",G28=""),"",MAX(1,Impact_Assessment!L28-G28))</f>
        <v/>
      </c>
      <c r="J28" s="60" t="str">
        <f>IF(OR(likelihood!F28="",H28=""),"",MAX(1,likelihood!F28-H28))</f>
        <v/>
      </c>
      <c r="K28" s="37" t="str">
        <f t="shared" si="0"/>
        <v/>
      </c>
      <c r="L28" s="37" t="str">
        <f t="shared" si="1"/>
        <v/>
      </c>
    </row>
    <row r="29" spans="1:12" x14ac:dyDescent="0.25">
      <c r="A29" s="59" t="str">
        <f>IF(Inherent_Risk_Scores!A29="","",Inherent_Risk_Scores!A29)</f>
        <v/>
      </c>
      <c r="B29" s="60" t="str">
        <f>IF(Inherent_Risk_Scores!E29="","",Inherent_Risk_Scores!E29)</f>
        <v/>
      </c>
      <c r="C29" s="60" t="str">
        <f>IF(Inherent_Risk_Scores!I30="","",Inherent_Risk_Scores!I30)</f>
        <v/>
      </c>
      <c r="I29" s="60" t="str">
        <f>IF(OR(Impact_Assessment!L29="",G29=""),"",MAX(1,Impact_Assessment!L29-G29))</f>
        <v/>
      </c>
      <c r="J29" s="60" t="str">
        <f>IF(OR(likelihood!F29="",H29=""),"",MAX(1,likelihood!F29-H29))</f>
        <v/>
      </c>
      <c r="K29" s="37" t="str">
        <f t="shared" si="0"/>
        <v/>
      </c>
      <c r="L29" s="37" t="str">
        <f t="shared" si="1"/>
        <v/>
      </c>
    </row>
    <row r="30" spans="1:12" x14ac:dyDescent="0.25">
      <c r="A30" s="59" t="str">
        <f>IF(Inherent_Risk_Scores!A30="","",Inherent_Risk_Scores!A30)</f>
        <v/>
      </c>
      <c r="B30" s="60" t="str">
        <f>IF(Inherent_Risk_Scores!E30="","",Inherent_Risk_Scores!E30)</f>
        <v/>
      </c>
      <c r="C30" s="60" t="str">
        <f>IF(Inherent_Risk_Scores!I31="","",Inherent_Risk_Scores!I31)</f>
        <v/>
      </c>
      <c r="I30" s="60" t="str">
        <f>IF(OR(Impact_Assessment!L30="",G30=""),"",MAX(1,Impact_Assessment!L30-G30))</f>
        <v/>
      </c>
      <c r="J30" s="60" t="str">
        <f>IF(OR(likelihood!F30="",H30=""),"",MAX(1,likelihood!F30-H30))</f>
        <v/>
      </c>
      <c r="K30" s="37" t="str">
        <f t="shared" si="0"/>
        <v/>
      </c>
      <c r="L30" s="37" t="str">
        <f t="shared" si="1"/>
        <v/>
      </c>
    </row>
    <row r="31" spans="1:12" x14ac:dyDescent="0.25">
      <c r="A31" s="59" t="str">
        <f>IF(Inherent_Risk_Scores!A31="","",Inherent_Risk_Scores!A31)</f>
        <v/>
      </c>
      <c r="B31" s="60" t="str">
        <f>IF(Inherent_Risk_Scores!E31="","",Inherent_Risk_Scores!E31)</f>
        <v/>
      </c>
      <c r="C31" s="60" t="str">
        <f>IF(Inherent_Risk_Scores!I32="","",Inherent_Risk_Scores!I32)</f>
        <v/>
      </c>
      <c r="I31" s="60" t="str">
        <f>IF(OR(Impact_Assessment!L31="",G31=""),"",MAX(1,Impact_Assessment!L31-G31))</f>
        <v/>
      </c>
      <c r="J31" s="60" t="str">
        <f>IF(OR(likelihood!F31="",H31=""),"",MAX(1,likelihood!F31-H31))</f>
        <v/>
      </c>
      <c r="K31" s="37" t="str">
        <f t="shared" si="0"/>
        <v/>
      </c>
      <c r="L31" s="37" t="str">
        <f t="shared" si="1"/>
        <v/>
      </c>
    </row>
    <row r="32" spans="1:12" x14ac:dyDescent="0.25">
      <c r="B32" s="60" t="str">
        <f>IF(Inherent_Risk_Scores!E33="","",Inherent_Risk_Scores!B33)</f>
        <v/>
      </c>
      <c r="C32" s="60" t="str">
        <f>IF(Inherent_Risk_Scores!I33="","",Inherent_Risk_Scores!I33)</f>
        <v/>
      </c>
      <c r="I32" s="60" t="str">
        <f>IF(OR(Impact_Assessment!L32="",G32=""),"",Impact_Assessment!L32-G32)</f>
        <v/>
      </c>
      <c r="J32" s="60" t="str">
        <f>IF(OR(likelihood!F32="",H32=""),"",MAX(1,likelihood!F32-H32))</f>
        <v/>
      </c>
      <c r="K32" s="37" t="str">
        <f t="shared" si="0"/>
        <v/>
      </c>
      <c r="L32" s="37" t="str">
        <f t="shared" si="1"/>
        <v/>
      </c>
    </row>
    <row r="33" spans="3:12" x14ac:dyDescent="0.25">
      <c r="C33" s="60" t="str">
        <f>IF(Inherent_Risk_Scores!I34="","",Inherent_Risk_Scores!I34)</f>
        <v/>
      </c>
      <c r="I33" s="60" t="str">
        <f>IF(OR(Impact_Assessment!L33="",G33=""),"",Impact_Assessment!L33-G33)</f>
        <v/>
      </c>
      <c r="J33" s="60" t="str">
        <f>IF(OR(likelihood!F33="",H33=""),"",MAX(1,likelihood!F33-H33))</f>
        <v/>
      </c>
      <c r="K33" s="37" t="str">
        <f t="shared" si="0"/>
        <v/>
      </c>
      <c r="L33" s="37" t="str">
        <f t="shared" si="1"/>
        <v/>
      </c>
    </row>
    <row r="34" spans="3:12" x14ac:dyDescent="0.25">
      <c r="C34" s="60" t="str">
        <f>IF(Inherent_Risk_Scores!I35="","",Inherent_Risk_Scores!I35)</f>
        <v/>
      </c>
      <c r="I34" s="60" t="str">
        <f>IF(OR(Impact_Assessment!L34="",G34=""),"",Impact_Assessment!L34-G34)</f>
        <v/>
      </c>
      <c r="K34" s="37" t="str">
        <f t="shared" si="0"/>
        <v/>
      </c>
      <c r="L34" s="37" t="str">
        <f t="shared" si="1"/>
        <v/>
      </c>
    </row>
    <row r="35" spans="3:12" x14ac:dyDescent="0.25">
      <c r="C35" s="60" t="str">
        <f>IF(Inherent_Risk_Scores!I36="","",Inherent_Risk_Scores!I36)</f>
        <v/>
      </c>
      <c r="I35" s="60" t="str">
        <f>IF(OR(Impact_Assessment!L35="",G35=""),"",Impact_Assessment!L35-G35)</f>
        <v/>
      </c>
      <c r="K35" s="37" t="str">
        <f t="shared" si="0"/>
        <v/>
      </c>
      <c r="L35" s="37" t="str">
        <f t="shared" si="1"/>
        <v/>
      </c>
    </row>
    <row r="36" spans="3:12" x14ac:dyDescent="0.25">
      <c r="C36" s="60" t="str">
        <f>IF(Inherent_Risk_Scores!I37="","",Inherent_Risk_Scores!I37)</f>
        <v/>
      </c>
      <c r="I36" s="60" t="str">
        <f>IF(OR(Impact_Assessment!L36="",G36=""),"",Impact_Assessment!L36-G36)</f>
        <v/>
      </c>
      <c r="K36" s="37" t="str">
        <f t="shared" si="0"/>
        <v/>
      </c>
      <c r="L36" s="37" t="str">
        <f t="shared" si="1"/>
        <v/>
      </c>
    </row>
    <row r="37" spans="3:12" x14ac:dyDescent="0.25">
      <c r="C37" s="60" t="str">
        <f>IF(Inherent_Risk_Scores!I38="","",Inherent_Risk_Scores!I38)</f>
        <v/>
      </c>
      <c r="I37" s="60" t="str">
        <f>IF(OR(Impact_Assessment!L37="",G37=""),"",Impact_Assessment!L37-G37)</f>
        <v/>
      </c>
      <c r="K37" s="37" t="str">
        <f t="shared" si="0"/>
        <v/>
      </c>
      <c r="L37" s="37" t="str">
        <f t="shared" si="1"/>
        <v/>
      </c>
    </row>
    <row r="38" spans="3:12" x14ac:dyDescent="0.25">
      <c r="C38" s="60" t="str">
        <f>IF(Inherent_Risk_Scores!I39="","",Inherent_Risk_Scores!I39)</f>
        <v/>
      </c>
      <c r="I38" s="60" t="str">
        <f>IF(OR(Impact_Assessment!L38="",G38=""),"",Impact_Assessment!L38-G38)</f>
        <v/>
      </c>
      <c r="K38" s="37" t="str">
        <f t="shared" si="0"/>
        <v/>
      </c>
      <c r="L38" s="37" t="str">
        <f t="shared" si="1"/>
        <v/>
      </c>
    </row>
    <row r="39" spans="3:12" x14ac:dyDescent="0.25">
      <c r="C39" s="60" t="str">
        <f>IF(Inherent_Risk_Scores!I40="","",Inherent_Risk_Scores!I40)</f>
        <v/>
      </c>
      <c r="I39" s="60" t="str">
        <f>IF(OR(Impact_Assessment!L39="",G39=""),"",Impact_Assessment!L39-G39)</f>
        <v/>
      </c>
      <c r="K39" s="37" t="str">
        <f t="shared" si="0"/>
        <v/>
      </c>
      <c r="L39" s="37" t="str">
        <f t="shared" si="1"/>
        <v/>
      </c>
    </row>
    <row r="40" spans="3:12" x14ac:dyDescent="0.25">
      <c r="C40" s="60" t="str">
        <f>IF(Inherent_Risk_Scores!I41="","",Inherent_Risk_Scores!I41)</f>
        <v/>
      </c>
      <c r="K40" s="37" t="str">
        <f t="shared" si="0"/>
        <v/>
      </c>
      <c r="L40" s="37" t="str">
        <f t="shared" si="1"/>
        <v/>
      </c>
    </row>
    <row r="41" spans="3:12" x14ac:dyDescent="0.25">
      <c r="K41" s="37" t="str">
        <f t="shared" si="0"/>
        <v/>
      </c>
      <c r="L41" s="37" t="str">
        <f t="shared" si="1"/>
        <v/>
      </c>
    </row>
    <row r="42" spans="3:12" x14ac:dyDescent="0.25">
      <c r="K42" s="37" t="str">
        <f t="shared" si="0"/>
        <v/>
      </c>
    </row>
    <row r="43" spans="3:12" x14ac:dyDescent="0.25">
      <c r="K43" s="37" t="str">
        <f t="shared" si="0"/>
        <v/>
      </c>
    </row>
    <row r="44" spans="3:12" x14ac:dyDescent="0.25">
      <c r="K44" s="37" t="str">
        <f t="shared" si="0"/>
        <v/>
      </c>
    </row>
    <row r="45" spans="3:12" x14ac:dyDescent="0.25">
      <c r="K45" s="37" t="str">
        <f t="shared" si="0"/>
        <v/>
      </c>
    </row>
    <row r="46" spans="3:12" x14ac:dyDescent="0.25">
      <c r="K46" s="37" t="str">
        <f t="shared" si="0"/>
        <v/>
      </c>
    </row>
    <row r="47" spans="3:12" x14ac:dyDescent="0.25">
      <c r="K47" s="37" t="str">
        <f t="shared" si="0"/>
        <v/>
      </c>
    </row>
    <row r="48" spans="3:12" x14ac:dyDescent="0.25">
      <c r="K48" s="37" t="str">
        <f t="shared" si="0"/>
        <v/>
      </c>
    </row>
    <row r="49" spans="11:11" x14ac:dyDescent="0.25">
      <c r="K49" s="37" t="str">
        <f t="shared" si="0"/>
        <v/>
      </c>
    </row>
    <row r="50" spans="11:11" x14ac:dyDescent="0.25">
      <c r="K50" s="37" t="str">
        <f t="shared" si="0"/>
        <v/>
      </c>
    </row>
    <row r="51" spans="11:11" x14ac:dyDescent="0.25">
      <c r="K51" s="37" t="str">
        <f t="shared" si="0"/>
        <v/>
      </c>
    </row>
    <row r="52" spans="11:11" x14ac:dyDescent="0.25">
      <c r="K52" s="37" t="str">
        <f t="shared" si="0"/>
        <v/>
      </c>
    </row>
    <row r="53" spans="11:11" x14ac:dyDescent="0.25">
      <c r="K53" s="37" t="str">
        <f t="shared" si="0"/>
        <v/>
      </c>
    </row>
    <row r="54" spans="11:11" x14ac:dyDescent="0.25">
      <c r="K54" s="37" t="str">
        <f t="shared" si="0"/>
        <v/>
      </c>
    </row>
    <row r="55" spans="11:11" x14ac:dyDescent="0.25">
      <c r="K55" s="37" t="str">
        <f t="shared" si="0"/>
        <v/>
      </c>
    </row>
    <row r="56" spans="11:11" x14ac:dyDescent="0.25">
      <c r="K56" s="37" t="str">
        <f t="shared" si="0"/>
        <v/>
      </c>
    </row>
    <row r="57" spans="11:11" x14ac:dyDescent="0.25">
      <c r="K57" s="37" t="str">
        <f t="shared" si="0"/>
        <v/>
      </c>
    </row>
    <row r="58" spans="11:11" x14ac:dyDescent="0.25">
      <c r="K58" s="37" t="str">
        <f t="shared" si="0"/>
        <v/>
      </c>
    </row>
    <row r="59" spans="11:11" x14ac:dyDescent="0.25">
      <c r="K59" s="37" t="str">
        <f t="shared" si="0"/>
        <v/>
      </c>
    </row>
    <row r="60" spans="11:11" x14ac:dyDescent="0.25">
      <c r="K60" s="37" t="str">
        <f t="shared" si="0"/>
        <v/>
      </c>
    </row>
    <row r="61" spans="11:11" x14ac:dyDescent="0.25">
      <c r="K61" s="37" t="str">
        <f t="shared" si="0"/>
        <v/>
      </c>
    </row>
    <row r="62" spans="11:11" x14ac:dyDescent="0.25">
      <c r="K62" s="37" t="str">
        <f t="shared" si="0"/>
        <v/>
      </c>
    </row>
    <row r="63" spans="11:11" x14ac:dyDescent="0.25">
      <c r="K63" s="37" t="str">
        <f t="shared" si="0"/>
        <v/>
      </c>
    </row>
    <row r="64" spans="11:11" x14ac:dyDescent="0.25">
      <c r="K64" s="37" t="str">
        <f t="shared" si="0"/>
        <v/>
      </c>
    </row>
    <row r="65" spans="11:11" x14ac:dyDescent="0.25">
      <c r="K65" s="37" t="str">
        <f t="shared" si="0"/>
        <v/>
      </c>
    </row>
    <row r="66" spans="11:11" x14ac:dyDescent="0.25">
      <c r="K66" s="37" t="str">
        <f t="shared" si="0"/>
        <v/>
      </c>
    </row>
    <row r="67" spans="11:11" x14ac:dyDescent="0.25">
      <c r="K67" s="37" t="str">
        <f t="shared" ref="K67:K93" si="2">IF(I67&lt;&gt;"",I67*J67,"")</f>
        <v/>
      </c>
    </row>
    <row r="68" spans="11:11" x14ac:dyDescent="0.25">
      <c r="K68" s="37" t="str">
        <f t="shared" si="2"/>
        <v/>
      </c>
    </row>
    <row r="69" spans="11:11" x14ac:dyDescent="0.25">
      <c r="K69" s="37" t="str">
        <f t="shared" si="2"/>
        <v/>
      </c>
    </row>
    <row r="70" spans="11:11" x14ac:dyDescent="0.25">
      <c r="K70" s="37" t="str">
        <f t="shared" si="2"/>
        <v/>
      </c>
    </row>
    <row r="71" spans="11:11" x14ac:dyDescent="0.25">
      <c r="K71" s="37" t="str">
        <f t="shared" si="2"/>
        <v/>
      </c>
    </row>
    <row r="72" spans="11:11" x14ac:dyDescent="0.25">
      <c r="K72" s="37" t="str">
        <f t="shared" si="2"/>
        <v/>
      </c>
    </row>
    <row r="73" spans="11:11" x14ac:dyDescent="0.25">
      <c r="K73" s="37" t="str">
        <f t="shared" si="2"/>
        <v/>
      </c>
    </row>
    <row r="74" spans="11:11" x14ac:dyDescent="0.25">
      <c r="K74" s="37" t="str">
        <f t="shared" si="2"/>
        <v/>
      </c>
    </row>
    <row r="75" spans="11:11" x14ac:dyDescent="0.25">
      <c r="K75" s="37" t="str">
        <f t="shared" si="2"/>
        <v/>
      </c>
    </row>
    <row r="76" spans="11:11" x14ac:dyDescent="0.25">
      <c r="K76" s="37" t="str">
        <f t="shared" si="2"/>
        <v/>
      </c>
    </row>
    <row r="77" spans="11:11" x14ac:dyDescent="0.25">
      <c r="K77" s="37" t="str">
        <f t="shared" si="2"/>
        <v/>
      </c>
    </row>
    <row r="78" spans="11:11" x14ac:dyDescent="0.25">
      <c r="K78" s="37" t="str">
        <f t="shared" si="2"/>
        <v/>
      </c>
    </row>
    <row r="79" spans="11:11" x14ac:dyDescent="0.25">
      <c r="K79" s="37" t="str">
        <f t="shared" si="2"/>
        <v/>
      </c>
    </row>
    <row r="80" spans="11:11" x14ac:dyDescent="0.25">
      <c r="K80" s="37" t="str">
        <f t="shared" si="2"/>
        <v/>
      </c>
    </row>
    <row r="81" spans="11:11" x14ac:dyDescent="0.25">
      <c r="K81" s="37" t="str">
        <f t="shared" si="2"/>
        <v/>
      </c>
    </row>
    <row r="82" spans="11:11" x14ac:dyDescent="0.25">
      <c r="K82" s="37" t="str">
        <f t="shared" si="2"/>
        <v/>
      </c>
    </row>
    <row r="83" spans="11:11" x14ac:dyDescent="0.25">
      <c r="K83" s="37" t="str">
        <f t="shared" si="2"/>
        <v/>
      </c>
    </row>
    <row r="84" spans="11:11" x14ac:dyDescent="0.25">
      <c r="K84" s="37" t="str">
        <f t="shared" si="2"/>
        <v/>
      </c>
    </row>
    <row r="85" spans="11:11" x14ac:dyDescent="0.25">
      <c r="K85" s="37" t="str">
        <f t="shared" si="2"/>
        <v/>
      </c>
    </row>
    <row r="86" spans="11:11" x14ac:dyDescent="0.25">
      <c r="K86" s="37" t="str">
        <f t="shared" si="2"/>
        <v/>
      </c>
    </row>
    <row r="87" spans="11:11" x14ac:dyDescent="0.25">
      <c r="K87" s="37" t="str">
        <f t="shared" si="2"/>
        <v/>
      </c>
    </row>
    <row r="88" spans="11:11" x14ac:dyDescent="0.25">
      <c r="K88" s="37" t="str">
        <f t="shared" si="2"/>
        <v/>
      </c>
    </row>
    <row r="89" spans="11:11" x14ac:dyDescent="0.25">
      <c r="K89" s="37" t="str">
        <f t="shared" si="2"/>
        <v/>
      </c>
    </row>
    <row r="90" spans="11:11" x14ac:dyDescent="0.25">
      <c r="K90" s="37" t="str">
        <f t="shared" si="2"/>
        <v/>
      </c>
    </row>
    <row r="91" spans="11:11" x14ac:dyDescent="0.25">
      <c r="K91" s="37" t="str">
        <f t="shared" si="2"/>
        <v/>
      </c>
    </row>
    <row r="92" spans="11:11" x14ac:dyDescent="0.25">
      <c r="K92" s="37" t="str">
        <f t="shared" si="2"/>
        <v/>
      </c>
    </row>
    <row r="93" spans="11:11" x14ac:dyDescent="0.25">
      <c r="K93" s="37" t="str">
        <f t="shared" si="2"/>
        <v/>
      </c>
    </row>
    <row r="94" spans="11:11" x14ac:dyDescent="0.25">
      <c r="K94" s="37" t="str">
        <f t="shared" ref="K94:K123" si="3">IF(I94&lt;&gt;"",I94*J94,"")</f>
        <v/>
      </c>
    </row>
    <row r="95" spans="11:11" x14ac:dyDescent="0.25">
      <c r="K95" s="37" t="str">
        <f t="shared" si="3"/>
        <v/>
      </c>
    </row>
    <row r="96" spans="11:11" x14ac:dyDescent="0.25">
      <c r="K96" s="37" t="str">
        <f t="shared" si="3"/>
        <v/>
      </c>
    </row>
    <row r="97" spans="11:11" x14ac:dyDescent="0.25">
      <c r="K97" s="37" t="str">
        <f t="shared" si="3"/>
        <v/>
      </c>
    </row>
    <row r="98" spans="11:11" x14ac:dyDescent="0.25">
      <c r="K98" s="37" t="str">
        <f t="shared" si="3"/>
        <v/>
      </c>
    </row>
    <row r="99" spans="11:11" x14ac:dyDescent="0.25">
      <c r="K99" s="37" t="str">
        <f t="shared" si="3"/>
        <v/>
      </c>
    </row>
    <row r="100" spans="11:11" x14ac:dyDescent="0.25">
      <c r="K100" s="37" t="str">
        <f t="shared" si="3"/>
        <v/>
      </c>
    </row>
    <row r="101" spans="11:11" x14ac:dyDescent="0.25">
      <c r="K101" s="37" t="str">
        <f t="shared" si="3"/>
        <v/>
      </c>
    </row>
    <row r="102" spans="11:11" x14ac:dyDescent="0.25">
      <c r="K102" s="37" t="str">
        <f t="shared" si="3"/>
        <v/>
      </c>
    </row>
    <row r="103" spans="11:11" x14ac:dyDescent="0.25">
      <c r="K103" s="37" t="str">
        <f t="shared" si="3"/>
        <v/>
      </c>
    </row>
    <row r="104" spans="11:11" x14ac:dyDescent="0.25">
      <c r="K104" s="37" t="str">
        <f t="shared" si="3"/>
        <v/>
      </c>
    </row>
    <row r="105" spans="11:11" x14ac:dyDescent="0.25">
      <c r="K105" s="37" t="str">
        <f t="shared" si="3"/>
        <v/>
      </c>
    </row>
    <row r="106" spans="11:11" x14ac:dyDescent="0.25">
      <c r="K106" s="37" t="str">
        <f t="shared" si="3"/>
        <v/>
      </c>
    </row>
    <row r="107" spans="11:11" x14ac:dyDescent="0.25">
      <c r="K107" s="37" t="str">
        <f t="shared" si="3"/>
        <v/>
      </c>
    </row>
    <row r="108" spans="11:11" x14ac:dyDescent="0.25">
      <c r="K108" s="37" t="str">
        <f t="shared" si="3"/>
        <v/>
      </c>
    </row>
    <row r="109" spans="11:11" x14ac:dyDescent="0.25">
      <c r="K109" s="37" t="str">
        <f t="shared" si="3"/>
        <v/>
      </c>
    </row>
    <row r="110" spans="11:11" x14ac:dyDescent="0.25">
      <c r="K110" s="37" t="str">
        <f t="shared" si="3"/>
        <v/>
      </c>
    </row>
    <row r="111" spans="11:11" x14ac:dyDescent="0.25">
      <c r="K111" s="37" t="str">
        <f t="shared" si="3"/>
        <v/>
      </c>
    </row>
    <row r="112" spans="11:11" x14ac:dyDescent="0.25">
      <c r="K112" s="37" t="str">
        <f t="shared" si="3"/>
        <v/>
      </c>
    </row>
    <row r="113" spans="11:11" x14ac:dyDescent="0.25">
      <c r="K113" s="37" t="str">
        <f t="shared" si="3"/>
        <v/>
      </c>
    </row>
    <row r="114" spans="11:11" x14ac:dyDescent="0.25">
      <c r="K114" s="37" t="str">
        <f t="shared" si="3"/>
        <v/>
      </c>
    </row>
    <row r="115" spans="11:11" x14ac:dyDescent="0.25">
      <c r="K115" s="37" t="str">
        <f t="shared" si="3"/>
        <v/>
      </c>
    </row>
    <row r="116" spans="11:11" x14ac:dyDescent="0.25">
      <c r="K116" s="37" t="str">
        <f t="shared" si="3"/>
        <v/>
      </c>
    </row>
    <row r="117" spans="11:11" x14ac:dyDescent="0.25">
      <c r="K117" s="37" t="str">
        <f t="shared" si="3"/>
        <v/>
      </c>
    </row>
    <row r="118" spans="11:11" x14ac:dyDescent="0.25">
      <c r="K118" s="37" t="str">
        <f t="shared" si="3"/>
        <v/>
      </c>
    </row>
    <row r="119" spans="11:11" x14ac:dyDescent="0.25">
      <c r="K119" s="37" t="str">
        <f t="shared" si="3"/>
        <v/>
      </c>
    </row>
    <row r="120" spans="11:11" x14ac:dyDescent="0.25">
      <c r="K120" s="37" t="str">
        <f t="shared" si="3"/>
        <v/>
      </c>
    </row>
    <row r="121" spans="11:11" x14ac:dyDescent="0.25">
      <c r="K121" s="37" t="str">
        <f t="shared" si="3"/>
        <v/>
      </c>
    </row>
    <row r="122" spans="11:11" x14ac:dyDescent="0.25">
      <c r="K122" s="37" t="str">
        <f t="shared" si="3"/>
        <v/>
      </c>
    </row>
    <row r="123" spans="11:11" x14ac:dyDescent="0.25">
      <c r="K123" s="37" t="str">
        <f t="shared" si="3"/>
        <v/>
      </c>
    </row>
    <row r="124" spans="11:11" x14ac:dyDescent="0.25">
      <c r="K124" s="37" t="str">
        <f t="shared" ref="K124:K129" si="4">IF(I124&lt;&gt;"",I124*J124,"")</f>
        <v/>
      </c>
    </row>
    <row r="125" spans="11:11" x14ac:dyDescent="0.25">
      <c r="K125" s="37" t="str">
        <f t="shared" si="4"/>
        <v/>
      </c>
    </row>
    <row r="126" spans="11:11" x14ac:dyDescent="0.25">
      <c r="K126" s="37" t="str">
        <f t="shared" si="4"/>
        <v/>
      </c>
    </row>
    <row r="127" spans="11:11" x14ac:dyDescent="0.25">
      <c r="K127" s="37" t="str">
        <f t="shared" si="4"/>
        <v/>
      </c>
    </row>
    <row r="128" spans="11:11" x14ac:dyDescent="0.25">
      <c r="K128" s="37" t="str">
        <f t="shared" si="4"/>
        <v/>
      </c>
    </row>
    <row r="129" spans="11:11" x14ac:dyDescent="0.25">
      <c r="K129" s="37" t="str">
        <f t="shared" si="4"/>
        <v/>
      </c>
    </row>
  </sheetData>
  <sheetProtection algorithmName="SHA-512" hashValue="Cv8d8zZKh/9K4hTH9PGZxcFnr8N8j8AYCwn1ETdEeO3Pq9cxkF0JStTtEtI73n80MzXKiPkdwHOa4mOfro67Aw==" saltValue="HiCIA7lW3/mH44LkAKsHfg==" spinCount="100000" sheet="1" objects="1" scenarios="1" selectLockedCells="1"/>
  <conditionalFormatting sqref="L2:L41">
    <cfRule type="cellIs" dxfId="11" priority="29" operator="equal">
      <formula>"Low"</formula>
    </cfRule>
    <cfRule type="cellIs" dxfId="10" priority="30" stopIfTrue="1" operator="equal">
      <formula>"Critical"</formula>
    </cfRule>
    <cfRule type="cellIs" dxfId="9" priority="31" operator="equal">
      <formula>"High"</formula>
    </cfRule>
  </conditionalFormatting>
  <conditionalFormatting sqref="L2:L41">
    <cfRule type="cellIs" dxfId="8" priority="28" operator="equal">
      <formula>"Medium"</formula>
    </cfRule>
  </conditionalFormatting>
  <conditionalFormatting sqref="B2:B31">
    <cfRule type="cellIs" dxfId="7" priority="22" stopIfTrue="1" operator="between">
      <formula>1</formula>
      <formula>6</formula>
    </cfRule>
  </conditionalFormatting>
  <conditionalFormatting sqref="B2:B31">
    <cfRule type="cellIs" dxfId="6" priority="21" operator="between">
      <formula>6</formula>
      <formula>11</formula>
    </cfRule>
  </conditionalFormatting>
  <conditionalFormatting sqref="B2:B31">
    <cfRule type="cellIs" dxfId="5" priority="20" stopIfTrue="1" operator="between">
      <formula>11</formula>
      <formula>15</formula>
    </cfRule>
  </conditionalFormatting>
  <conditionalFormatting sqref="B1:B1048576">
    <cfRule type="cellIs" dxfId="4" priority="5" operator="between">
      <formula>16</formula>
      <formula>25</formula>
    </cfRule>
  </conditionalFormatting>
  <conditionalFormatting sqref="K1:K1048576">
    <cfRule type="cellIs" dxfId="3" priority="1" operator="between">
      <formula>16</formula>
      <formula>25</formula>
    </cfRule>
    <cfRule type="cellIs" dxfId="2" priority="2" operator="between">
      <formula>11</formula>
      <formula>15</formula>
    </cfRule>
    <cfRule type="cellIs" dxfId="1" priority="3" operator="between">
      <formula>6</formula>
      <formula>10</formula>
    </cfRule>
    <cfRule type="cellIs" dxfId="0" priority="4" operator="between">
      <formula>1</formula>
      <formula>5</formula>
    </cfRule>
  </conditionalFormatting>
  <dataValidations count="4">
    <dataValidation type="list" allowBlank="1" showInputMessage="1" showErrorMessage="1" sqref="F2:F68">
      <formula1>"Preventive,    -"</formula1>
    </dataValidation>
    <dataValidation type="list" allowBlank="1" showInputMessage="1" showErrorMessage="1" sqref="G2:H2 G3:G39 H3:H13 H15:H31">
      <formula1>"0,1,2,3"</formula1>
    </dataValidation>
    <dataValidation type="list" showInputMessage="1" showErrorMessage="1" sqref="H14">
      <formula1>"0,1,2,3"</formula1>
    </dataValidation>
    <dataValidation type="list" allowBlank="1" showInputMessage="1" showErrorMessage="1" sqref="E2:E41">
      <formula1>"Detective,Corrective,Detective+Corrective,   -"</formula1>
    </dataValidation>
  </dataValidations>
  <pageMargins left="0.75" right="0.75" top="1" bottom="1" header="0.5" footer="0.5"/>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U16"/>
  <sheetViews>
    <sheetView tabSelected="1" workbookViewId="0">
      <selection activeCell="P3" sqref="P3"/>
    </sheetView>
  </sheetViews>
  <sheetFormatPr defaultRowHeight="13.8" x14ac:dyDescent="0.25"/>
  <cols>
    <col min="8" max="13" width="10.69921875" customWidth="1"/>
    <col min="17" max="21" width="10.69921875" style="73" customWidth="1"/>
  </cols>
  <sheetData>
    <row r="2" spans="1:21" s="74" customFormat="1" ht="60" customHeight="1" x14ac:dyDescent="0.25">
      <c r="C2" s="75"/>
      <c r="D2" s="75"/>
      <c r="E2" s="75"/>
      <c r="F2" s="75"/>
      <c r="G2" s="75"/>
      <c r="H2" s="75"/>
      <c r="I2" s="75"/>
      <c r="J2" s="75"/>
      <c r="K2" s="75"/>
      <c r="L2" s="75"/>
      <c r="M2" s="75"/>
    </row>
    <row r="3" spans="1:21" s="63" customFormat="1" ht="60" customHeight="1" x14ac:dyDescent="0.25">
      <c r="C3" s="75"/>
      <c r="D3" s="75"/>
      <c r="E3" s="75"/>
      <c r="F3" s="75"/>
      <c r="G3" s="75"/>
      <c r="H3" s="75"/>
      <c r="I3" s="75"/>
      <c r="J3" s="75"/>
      <c r="K3" s="75"/>
      <c r="L3" s="75"/>
      <c r="M3" s="75"/>
      <c r="Q3" s="74"/>
      <c r="R3" s="74"/>
      <c r="S3" s="74"/>
      <c r="T3" s="74"/>
      <c r="U3" s="74"/>
    </row>
    <row r="4" spans="1:21" s="63" customFormat="1" ht="60" customHeight="1" x14ac:dyDescent="0.25">
      <c r="C4" s="75"/>
      <c r="D4" s="75"/>
      <c r="E4" s="75"/>
      <c r="F4" s="75"/>
      <c r="G4" s="75"/>
      <c r="H4" s="75"/>
      <c r="I4" s="75"/>
      <c r="J4" s="75"/>
      <c r="K4" s="75"/>
      <c r="L4" s="75"/>
      <c r="M4" s="75"/>
      <c r="Q4" s="74"/>
      <c r="R4" s="74"/>
      <c r="S4" s="74"/>
      <c r="T4" s="74"/>
      <c r="U4" s="74"/>
    </row>
    <row r="5" spans="1:21" s="63" customFormat="1" ht="60" customHeight="1" x14ac:dyDescent="0.25">
      <c r="C5" s="75"/>
      <c r="D5" s="75"/>
      <c r="E5" s="75"/>
      <c r="F5" s="75"/>
      <c r="G5" s="75"/>
      <c r="H5" s="75"/>
      <c r="I5" s="75"/>
      <c r="J5" s="75"/>
      <c r="K5" s="75"/>
      <c r="L5" s="75"/>
      <c r="M5" s="75"/>
      <c r="Q5" s="74"/>
      <c r="R5" s="74"/>
      <c r="S5" s="74"/>
      <c r="T5" s="74"/>
      <c r="U5" s="74"/>
    </row>
    <row r="6" spans="1:21" s="63" customFormat="1" ht="60" customHeight="1" x14ac:dyDescent="0.25">
      <c r="C6" s="75"/>
      <c r="D6" s="75"/>
      <c r="E6" s="75"/>
      <c r="F6" s="75"/>
      <c r="G6" s="75"/>
      <c r="H6" s="75"/>
      <c r="I6" s="75"/>
      <c r="J6" s="75"/>
      <c r="K6" s="75"/>
      <c r="L6" s="75"/>
      <c r="M6" s="75"/>
      <c r="Q6" s="74"/>
      <c r="R6" s="74"/>
      <c r="S6" s="74"/>
      <c r="T6" s="74"/>
      <c r="U6" s="74"/>
    </row>
    <row r="7" spans="1:21" s="63" customFormat="1" ht="60" customHeight="1" x14ac:dyDescent="0.25">
      <c r="C7" s="75"/>
      <c r="D7" s="75"/>
      <c r="E7" s="75"/>
      <c r="F7" s="75"/>
      <c r="G7" s="75"/>
      <c r="H7" s="75"/>
      <c r="I7" s="75"/>
      <c r="J7" s="75"/>
      <c r="K7" s="75"/>
      <c r="L7" s="75"/>
      <c r="M7" s="75"/>
      <c r="Q7" s="74"/>
      <c r="R7" s="74"/>
      <c r="S7" s="74"/>
      <c r="T7" s="74"/>
      <c r="U7" s="74"/>
    </row>
    <row r="8" spans="1:21" s="63" customFormat="1" x14ac:dyDescent="0.25">
      <c r="C8" s="75"/>
      <c r="D8" s="75"/>
      <c r="E8" s="75"/>
      <c r="F8" s="75"/>
      <c r="G8" s="75"/>
      <c r="H8" s="75"/>
      <c r="I8" s="75"/>
      <c r="J8" s="75"/>
      <c r="K8" s="75"/>
      <c r="L8" s="75"/>
      <c r="M8" s="75"/>
      <c r="Q8" s="74"/>
      <c r="R8" s="74"/>
      <c r="S8" s="74"/>
      <c r="T8" s="74"/>
      <c r="U8" s="74"/>
    </row>
    <row r="9" spans="1:21" s="63" customFormat="1" x14ac:dyDescent="0.25">
      <c r="C9" s="75"/>
      <c r="D9" s="75"/>
      <c r="E9" s="75"/>
      <c r="F9" s="75"/>
      <c r="G9" s="75"/>
      <c r="H9" s="75"/>
      <c r="I9" s="75"/>
      <c r="J9" s="75"/>
      <c r="K9" s="75"/>
      <c r="L9" s="75"/>
      <c r="M9" s="75"/>
      <c r="Q9" s="74"/>
      <c r="R9" s="74"/>
      <c r="S9" s="74"/>
      <c r="T9" s="74"/>
      <c r="U9" s="74"/>
    </row>
    <row r="10" spans="1:21" s="63" customFormat="1" x14ac:dyDescent="0.25">
      <c r="C10" s="75"/>
      <c r="D10" s="75"/>
      <c r="E10" s="75"/>
      <c r="F10" s="75"/>
      <c r="G10" s="75"/>
      <c r="H10" s="75"/>
      <c r="I10" s="75"/>
      <c r="J10" s="75"/>
      <c r="K10" s="75"/>
      <c r="L10" s="75"/>
      <c r="M10" s="75"/>
      <c r="Q10" s="74"/>
      <c r="R10" s="74"/>
      <c r="S10" s="74"/>
      <c r="T10" s="74"/>
      <c r="U10" s="74"/>
    </row>
    <row r="11" spans="1:21" s="63" customFormat="1" x14ac:dyDescent="0.25">
      <c r="Q11" s="74"/>
      <c r="R11" s="74"/>
      <c r="S11" s="74"/>
      <c r="T11" s="74"/>
      <c r="U11" s="74"/>
    </row>
    <row r="13" spans="1:21" x14ac:dyDescent="0.25">
      <c r="A13" s="3"/>
      <c r="B13" s="76"/>
      <c r="C13" t="s">
        <v>110</v>
      </c>
    </row>
    <row r="14" spans="1:21" x14ac:dyDescent="0.25">
      <c r="A14" s="77"/>
      <c r="B14" s="78"/>
      <c r="C14" t="s">
        <v>108</v>
      </c>
    </row>
    <row r="15" spans="1:21" x14ac:dyDescent="0.25">
      <c r="A15" s="79"/>
      <c r="B15" s="79"/>
      <c r="C15" t="s">
        <v>107</v>
      </c>
    </row>
    <row r="16" spans="1:21" x14ac:dyDescent="0.25">
      <c r="A16" s="80"/>
      <c r="B16" s="80"/>
      <c r="C16" t="s">
        <v>149</v>
      </c>
    </row>
  </sheetData>
  <sheetProtection algorithmName="SHA-512" hashValue="VaOYJ+gx3B0yqZDw7/TgZ+g46T51aHVv73z1rVRSaLUdyvNEka2hLQ1yEY7/0/Ji7CrSyavfkmHMreNQEb51PA==" saltValue="GgWryrLH40f/FqdOWUqQWw==" spinCount="100000" sheet="1" objects="1" scenarios="1"/>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Project_Context</vt:lpstr>
      <vt:lpstr>Business_Assets</vt:lpstr>
      <vt:lpstr>Supporting_Assets</vt:lpstr>
      <vt:lpstr>Vulnerabilities</vt:lpstr>
      <vt:lpstr>Risk_Scenarios</vt:lpstr>
      <vt:lpstr>likelihood</vt:lpstr>
      <vt:lpstr>Impact_Assessment</vt:lpstr>
      <vt:lpstr>Inherent_Risk_Scores</vt:lpstr>
      <vt:lpstr>Risk Managment_Mapping</vt:lpstr>
      <vt:lpstr>R_A_Chart</vt:lpstr>
      <vt:lpstr>Asset_Name</vt:lpstr>
      <vt:lpstr>Business_Asset_Name</vt:lpstr>
      <vt:lpstr>Risk_ID_</vt:lpstr>
      <vt:lpstr>Theat_event</vt:lpstr>
      <vt:lpstr>Threat_Event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salman</dc:creator>
  <cp:lastModifiedBy>ASUS-Selman</cp:lastModifiedBy>
  <dcterms:created xsi:type="dcterms:W3CDTF">2026-01-18T10:19:54Z</dcterms:created>
  <dcterms:modified xsi:type="dcterms:W3CDTF">2026-03-09T08:41:30Z</dcterms:modified>
  <cp:contentStatus/>
</cp:coreProperties>
</file>